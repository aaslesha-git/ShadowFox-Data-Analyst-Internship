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Cleaned Data" sheetId="2" r:id="rId6"/>
    <sheet state="visible" name="Monthly Profit" sheetId="3" r:id="rId7"/>
    <sheet state="visible" name="Top Products" sheetId="4" r:id="rId8"/>
    <sheet state="visible" name="Regional Performance" sheetId="5" r:id="rId9"/>
    <sheet state="visible" name="Category Performance" sheetId="6" r:id="rId10"/>
    <sheet state="visible" name="Monthly Sales" sheetId="7" r:id="rId11"/>
    <sheet state="visible" name="Analysis" sheetId="8" r:id="rId12"/>
    <sheet state="visible" name="Dashboard" sheetId="9" r:id="rId13"/>
  </sheets>
  <definedNames>
    <definedName hidden="1" localSheetId="0" name="_xlnm._FilterDatabase">'Raw Data'!$A$1:$K$1204</definedName>
    <definedName hidden="1" localSheetId="1" name="_xlnm._FilterDatabase">'Cleaned Data'!$A$1:$K$1204</definedName>
    <definedName hidden="1" localSheetId="7" name="_xlnm._FilterDatabase">Analysis!$A$1:$B$11</definedName>
    <definedName hidden="1" localSheetId="8" name="_xlnm._FilterDatabase">Dashboard!$A$1:$B$9</definedName>
  </definedNames>
  <calcPr/>
  <pivotCaches>
    <pivotCache cacheId="0" r:id="rId14"/>
  </pivotCaches>
</workbook>
</file>

<file path=xl/sharedStrings.xml><?xml version="1.0" encoding="utf-8"?>
<sst xmlns="http://schemas.openxmlformats.org/spreadsheetml/2006/main" count="12115" uniqueCount="1525">
  <si>
    <t>Order ID</t>
  </si>
  <si>
    <t>Order Date</t>
  </si>
  <si>
    <t>Product</t>
  </si>
  <si>
    <t>Category</t>
  </si>
  <si>
    <t>Region</t>
  </si>
  <si>
    <t>Customer</t>
  </si>
  <si>
    <t>Quantity</t>
  </si>
  <si>
    <t>Unit Price</t>
  </si>
  <si>
    <t>Sales</t>
  </si>
  <si>
    <t>Cost</t>
  </si>
  <si>
    <t>Profit</t>
  </si>
  <si>
    <t>Month</t>
  </si>
  <si>
    <t>ORD-0514</t>
  </si>
  <si>
    <t>Notebook</t>
  </si>
  <si>
    <t>Office Supplies</t>
  </si>
  <si>
    <t>East</t>
  </si>
  <si>
    <t>Customer 126</t>
  </si>
  <si>
    <t>ORD-0552</t>
  </si>
  <si>
    <t>Smartphone</t>
  </si>
  <si>
    <t>Electronics</t>
  </si>
  <si>
    <t>North</t>
  </si>
  <si>
    <t>Customer 090</t>
  </si>
  <si>
    <t>ORD-1187</t>
  </si>
  <si>
    <t>Table Lamp</t>
  </si>
  <si>
    <t>Furniture</t>
  </si>
  <si>
    <t>South</t>
  </si>
  <si>
    <t>Customer 183</t>
  </si>
  <si>
    <t>ORD-1034</t>
  </si>
  <si>
    <t>Pens</t>
  </si>
  <si>
    <t>West</t>
  </si>
  <si>
    <t>Customer 206</t>
  </si>
  <si>
    <t>ORD-0771</t>
  </si>
  <si>
    <t>Monitor</t>
  </si>
  <si>
    <t>Customer 131</t>
  </si>
  <si>
    <t>ORD-0097</t>
  </si>
  <si>
    <t>Printer Paper</t>
  </si>
  <si>
    <t>Customer 005</t>
  </si>
  <si>
    <t>ORD-0510</t>
  </si>
  <si>
    <t>Tablet</t>
  </si>
  <si>
    <t>Customer 239</t>
  </si>
  <si>
    <t>ORD-0924</t>
  </si>
  <si>
    <t>USB Cable</t>
  </si>
  <si>
    <t>Accessories</t>
  </si>
  <si>
    <t>Customer 191</t>
  </si>
  <si>
    <t>ORD-0974</t>
  </si>
  <si>
    <t>Customer 124</t>
  </si>
  <si>
    <t>ORD-0992</t>
  </si>
  <si>
    <t>Calculator</t>
  </si>
  <si>
    <t>Customer 214</t>
  </si>
  <si>
    <t>ORD-0980</t>
  </si>
  <si>
    <t>Webcam</t>
  </si>
  <si>
    <t>Customer 208</t>
  </si>
  <si>
    <t>ORD-0308</t>
  </si>
  <si>
    <t>Customer 181</t>
  </si>
  <si>
    <t>ORD-0832</t>
  </si>
  <si>
    <t>Customer 246</t>
  </si>
  <si>
    <t>ORD-1129</t>
  </si>
  <si>
    <t>Customer 110</t>
  </si>
  <si>
    <t>ORD-0111</t>
  </si>
  <si>
    <t>Customer 227</t>
  </si>
  <si>
    <t>ORD-0732</t>
  </si>
  <si>
    <t>Laptop</t>
  </si>
  <si>
    <t>Customer 088</t>
  </si>
  <si>
    <t>ORD-0562</t>
  </si>
  <si>
    <t>Customer 170</t>
  </si>
  <si>
    <t>ORD-0984</t>
  </si>
  <si>
    <t>Mouse</t>
  </si>
  <si>
    <t>Customer 207</t>
  </si>
  <si>
    <t>ORD-0296</t>
  </si>
  <si>
    <t>Headphones</t>
  </si>
  <si>
    <t>Customer 095</t>
  </si>
  <si>
    <t>ORD-0289</t>
  </si>
  <si>
    <t>Desk</t>
  </si>
  <si>
    <t>Customer 051</t>
  </si>
  <si>
    <t>ORD-0451</t>
  </si>
  <si>
    <t>Office Chair</t>
  </si>
  <si>
    <t>Customer 219</t>
  </si>
  <si>
    <t>ORD-0658</t>
  </si>
  <si>
    <t>Customer 139</t>
  </si>
  <si>
    <t>ORD-0482</t>
  </si>
  <si>
    <t>Customer 141</t>
  </si>
  <si>
    <t>ORD-0843</t>
  </si>
  <si>
    <t>Customer 158</t>
  </si>
  <si>
    <t>ORD-0453</t>
  </si>
  <si>
    <t>Customer 156</t>
  </si>
  <si>
    <t>ORD-0442</t>
  </si>
  <si>
    <t>Customer 020</t>
  </si>
  <si>
    <t>ORD-0872</t>
  </si>
  <si>
    <t>Customer 167</t>
  </si>
  <si>
    <t>ORD-0695</t>
  </si>
  <si>
    <t>Customer 113</t>
  </si>
  <si>
    <t>ORD-0730</t>
  </si>
  <si>
    <t>Stapler</t>
  </si>
  <si>
    <t>Customer 180</t>
  </si>
  <si>
    <t>ORD-0120</t>
  </si>
  <si>
    <t>Customer 133</t>
  </si>
  <si>
    <t>ORD-0719</t>
  </si>
  <si>
    <t>Customer 201</t>
  </si>
  <si>
    <t>ORD-0196</t>
  </si>
  <si>
    <t>Customer 022</t>
  </si>
  <si>
    <t>ORD-0433</t>
  </si>
  <si>
    <t>ORD-0970</t>
  </si>
  <si>
    <t>Filing Cabinet</t>
  </si>
  <si>
    <t>Customer 074</t>
  </si>
  <si>
    <t>ORD-0202</t>
  </si>
  <si>
    <t>Customer 086</t>
  </si>
  <si>
    <t>ORD-1125</t>
  </si>
  <si>
    <t>Customer 009</t>
  </si>
  <si>
    <t>ORD-0954</t>
  </si>
  <si>
    <t>Phone Stand</t>
  </si>
  <si>
    <t>Customer 026</t>
  </si>
  <si>
    <t>ORD-0459</t>
  </si>
  <si>
    <t>ORD-0421</t>
  </si>
  <si>
    <t>ORD-0668</t>
  </si>
  <si>
    <t>Customer 231</t>
  </si>
  <si>
    <t>ORD-0178</t>
  </si>
  <si>
    <t>Customer 067</t>
  </si>
  <si>
    <t>ORD-0065</t>
  </si>
  <si>
    <t>ORD-0265</t>
  </si>
  <si>
    <t>Customer 250</t>
  </si>
  <si>
    <t>ORD-0533</t>
  </si>
  <si>
    <t>Customer 002</t>
  </si>
  <si>
    <t>ORD-0763</t>
  </si>
  <si>
    <t>Customer 248</t>
  </si>
  <si>
    <t>ORD-0485</t>
  </si>
  <si>
    <t>Customer 192</t>
  </si>
  <si>
    <t>ORD-0746</t>
  </si>
  <si>
    <t>Customer 152</t>
  </si>
  <si>
    <t>ORD-0745</t>
  </si>
  <si>
    <t>Customer 094</t>
  </si>
  <si>
    <t>ORD-1095</t>
  </si>
  <si>
    <t>Customer 233</t>
  </si>
  <si>
    <t>ORD-0146</t>
  </si>
  <si>
    <t>Customer 014</t>
  </si>
  <si>
    <t>ORD-0179</t>
  </si>
  <si>
    <t>Customer 010</t>
  </si>
  <si>
    <t>ORD-1047</t>
  </si>
  <si>
    <t>ORD-1143</t>
  </si>
  <si>
    <t>Customer 096</t>
  </si>
  <si>
    <t>ORD-1193</t>
  </si>
  <si>
    <t>Folders</t>
  </si>
  <si>
    <t>Customer 081</t>
  </si>
  <si>
    <t>ORD-0689</t>
  </si>
  <si>
    <t>Customer 194</t>
  </si>
  <si>
    <t>ORD-1122</t>
  </si>
  <si>
    <t>Customer 065</t>
  </si>
  <si>
    <t>ORD-0642</t>
  </si>
  <si>
    <t>Customer 134</t>
  </si>
  <si>
    <t>ORD-0797</t>
  </si>
  <si>
    <t>ORD-0346</t>
  </si>
  <si>
    <t>Customer 062</t>
  </si>
  <si>
    <t>ORD-0567</t>
  </si>
  <si>
    <t>ORD-1030</t>
  </si>
  <si>
    <t>Customer 075</t>
  </si>
  <si>
    <t>ORD-1133</t>
  </si>
  <si>
    <t>Bookshelf</t>
  </si>
  <si>
    <t>Customer 198</t>
  </si>
  <si>
    <t>ORD-0026</t>
  </si>
  <si>
    <t>Customer 241</t>
  </si>
  <si>
    <t>ORD-0405</t>
  </si>
  <si>
    <t>Backpack</t>
  </si>
  <si>
    <t>ORD-1146</t>
  </si>
  <si>
    <t>Customer 058</t>
  </si>
  <si>
    <t>ORD-1135</t>
  </si>
  <si>
    <t>ORD-0407</t>
  </si>
  <si>
    <t>Customer 128</t>
  </si>
  <si>
    <t>ORD-0182</t>
  </si>
  <si>
    <t>Customer 031</t>
  </si>
  <si>
    <t>ORD-0834</t>
  </si>
  <si>
    <t>Customer 093</t>
  </si>
  <si>
    <t>ORD-0215</t>
  </si>
  <si>
    <t>Customer 216</t>
  </si>
  <si>
    <t>ORD-0959</t>
  </si>
  <si>
    <t>Customer 188</t>
  </si>
  <si>
    <t>ORD-0925</t>
  </si>
  <si>
    <t>Customer 046</t>
  </si>
  <si>
    <t>ORD-0285</t>
  </si>
  <si>
    <t>ORD-0227</t>
  </si>
  <si>
    <t>Customer 025</t>
  </si>
  <si>
    <t>ORD-0783</t>
  </si>
  <si>
    <t>Keyboard</t>
  </si>
  <si>
    <t>Customer 069</t>
  </si>
  <si>
    <t>ORD-0699</t>
  </si>
  <si>
    <t>ORD-0199</t>
  </si>
  <si>
    <t>Customer 243</t>
  </si>
  <si>
    <t>ORD-0140</t>
  </si>
  <si>
    <t>Customer 012</t>
  </si>
  <si>
    <t>ORD-0944</t>
  </si>
  <si>
    <t>ORD-0415</t>
  </si>
  <si>
    <t>Customer 087</t>
  </si>
  <si>
    <t>ORD-0762</t>
  </si>
  <si>
    <t>ORD-0923</t>
  </si>
  <si>
    <t>ORD-0505</t>
  </si>
  <si>
    <t>ORD-0765</t>
  </si>
  <si>
    <t>ORD-0931</t>
  </si>
  <si>
    <t>Customer 225</t>
  </si>
  <si>
    <t>ORD-0281</t>
  </si>
  <si>
    <t>Customer 037</t>
  </si>
  <si>
    <t>ORD-0129</t>
  </si>
  <si>
    <t>Customer 157</t>
  </si>
  <si>
    <t>ORD-1199</t>
  </si>
  <si>
    <t>Customer 163</t>
  </si>
  <si>
    <t>ORD-0910</t>
  </si>
  <si>
    <t>Customer 052</t>
  </si>
  <si>
    <t>ORD-0025</t>
  </si>
  <si>
    <t>Customer 004</t>
  </si>
  <si>
    <t>ORD-0619</t>
  </si>
  <si>
    <t>Customer 111</t>
  </si>
  <si>
    <t>ORD-1126</t>
  </si>
  <si>
    <t>ORD-1033</t>
  </si>
  <si>
    <t>Customer 030</t>
  </si>
  <si>
    <t>ORD-1069</t>
  </si>
  <si>
    <t>ORD-0067</t>
  </si>
  <si>
    <t>Customer 238</t>
  </si>
  <si>
    <t>ORD-1052</t>
  </si>
  <si>
    <t>Customer 059</t>
  </si>
  <si>
    <t>ORD-1094</t>
  </si>
  <si>
    <t>Customer 108</t>
  </si>
  <si>
    <t>ORD-0716</t>
  </si>
  <si>
    <t>Customer 061</t>
  </si>
  <si>
    <t>ORD-0354</t>
  </si>
  <si>
    <t>ORD-0838</t>
  </si>
  <si>
    <t>ORD-0540</t>
  </si>
  <si>
    <t>Customer 013</t>
  </si>
  <si>
    <t>ORD-0275</t>
  </si>
  <si>
    <t>Customer 114</t>
  </si>
  <si>
    <t>ORD-0881</t>
  </si>
  <si>
    <t>Customer 073</t>
  </si>
  <si>
    <t>ORD-0780</t>
  </si>
  <si>
    <t>Customer 047</t>
  </si>
  <si>
    <t>ORD-1140</t>
  </si>
  <si>
    <t>ORD-0632</t>
  </si>
  <si>
    <t>ORD-1155</t>
  </si>
  <si>
    <t>Customer 197</t>
  </si>
  <si>
    <t>ORD-0316</t>
  </si>
  <si>
    <t>ORD-0973</t>
  </si>
  <si>
    <t>Customer 041</t>
  </si>
  <si>
    <t>ORD-0823</t>
  </si>
  <si>
    <t>Customer 215</t>
  </si>
  <si>
    <t>ORD-0321</t>
  </si>
  <si>
    <t>ORD-0717</t>
  </si>
  <si>
    <t>Customer 080</t>
  </si>
  <si>
    <t>ORD-0479</t>
  </si>
  <si>
    <t>Customer 234</t>
  </si>
  <si>
    <t>ORD-0866</t>
  </si>
  <si>
    <t>Customer 034</t>
  </si>
  <si>
    <t>ORD-0513</t>
  </si>
  <si>
    <t>ORD-0531</t>
  </si>
  <si>
    <t>Customer 122</t>
  </si>
  <si>
    <t>ORD-0687</t>
  </si>
  <si>
    <t>Customer 097</t>
  </si>
  <si>
    <t>ORD-0021</t>
  </si>
  <si>
    <t>Customer 120</t>
  </si>
  <si>
    <t>ORD-0121</t>
  </si>
  <si>
    <t>Customer 115</t>
  </si>
  <si>
    <t>ORD-0710</t>
  </si>
  <si>
    <t>Customer 161</t>
  </si>
  <si>
    <t>ORD-1136</t>
  </si>
  <si>
    <t>Unknown</t>
  </si>
  <si>
    <t>ORD-0393</t>
  </si>
  <si>
    <t>ORD-0176</t>
  </si>
  <si>
    <t>ORD-0899</t>
  </si>
  <si>
    <t>ORD-0660</t>
  </si>
  <si>
    <t>ORD-0563</t>
  </si>
  <si>
    <t>Customer 184</t>
  </si>
  <si>
    <t>ORD-0816</t>
  </si>
  <si>
    <t>Customer 200</t>
  </si>
  <si>
    <t>ORD-0404</t>
  </si>
  <si>
    <t>Customer 166</t>
  </si>
  <si>
    <t>ORD-0122</t>
  </si>
  <si>
    <t>Customer 048</t>
  </si>
  <si>
    <t>ORD-0356</t>
  </si>
  <si>
    <t>ORD-0306</t>
  </si>
  <si>
    <t>ORD-0809</t>
  </si>
  <si>
    <t>Customer 147</t>
  </si>
  <si>
    <t>ORD-1048</t>
  </si>
  <si>
    <t>ORD-0238</t>
  </si>
  <si>
    <t>ORD-0541</t>
  </si>
  <si>
    <t>ORD-0558</t>
  </si>
  <si>
    <t>Customer 136</t>
  </si>
  <si>
    <t>ORD-0488</t>
  </si>
  <si>
    <t>ORD-0261</t>
  </si>
  <si>
    <t>Customer 103</t>
  </si>
  <si>
    <t>ORD-0189</t>
  </si>
  <si>
    <t>ORD-0506</t>
  </si>
  <si>
    <t>ORD-0444</t>
  </si>
  <si>
    <t>Customer 137</t>
  </si>
  <si>
    <t>ORD-0985</t>
  </si>
  <si>
    <t>Customer 171</t>
  </si>
  <si>
    <t>ORD-0901</t>
  </si>
  <si>
    <t>ORD-0369</t>
  </si>
  <si>
    <t>Customer 066</t>
  </si>
  <si>
    <t>ORD-0123</t>
  </si>
  <si>
    <t>Customer 249</t>
  </si>
  <si>
    <t>ORD-0258</t>
  </si>
  <si>
    <t>Customer 125</t>
  </si>
  <si>
    <t>ORD-1049</t>
  </si>
  <si>
    <t>Customer 148</t>
  </si>
  <si>
    <t>ORD-1189</t>
  </si>
  <si>
    <t>ORD-1083</t>
  </si>
  <si>
    <t>ORD-0622</t>
  </si>
  <si>
    <t>ORD-0738</t>
  </si>
  <si>
    <t>Customer 116</t>
  </si>
  <si>
    <t>ORD-0454</t>
  </si>
  <si>
    <t>Customer 132</t>
  </si>
  <si>
    <t>ORD-0979</t>
  </si>
  <si>
    <t>ORD-0133</t>
  </si>
  <si>
    <t>Customer 015</t>
  </si>
  <si>
    <t>ORD-0210</t>
  </si>
  <si>
    <t>Customer 245</t>
  </si>
  <si>
    <t>ORD-0366</t>
  </si>
  <si>
    <t>Customer 155</t>
  </si>
  <si>
    <t>ORD-0576</t>
  </si>
  <si>
    <t>ORD-1024</t>
  </si>
  <si>
    <t>ORD-0163</t>
  </si>
  <si>
    <t>Customer 177</t>
  </si>
  <si>
    <t>ORD-0904</t>
  </si>
  <si>
    <t>ORD-0017</t>
  </si>
  <si>
    <t>Customer 024</t>
  </si>
  <si>
    <t>ORD-0045</t>
  </si>
  <si>
    <t>ORD-0276</t>
  </si>
  <si>
    <t>Customer 159</t>
  </si>
  <si>
    <t>ORD-1003</t>
  </si>
  <si>
    <t>Customer 195</t>
  </si>
  <si>
    <t>ORD-1089</t>
  </si>
  <si>
    <t>Customer 160</t>
  </si>
  <si>
    <t>ORD-0441</t>
  </si>
  <si>
    <t>ORD-0490</t>
  </si>
  <si>
    <t>Customer 109</t>
  </si>
  <si>
    <t>ORD-0203</t>
  </si>
  <si>
    <t>Customer 247</t>
  </si>
  <si>
    <t>ORD-0206</t>
  </si>
  <si>
    <t>Customer 063</t>
  </si>
  <si>
    <t>ORD-1153</t>
  </si>
  <si>
    <t>Customer 036</t>
  </si>
  <si>
    <t>ORD-0512</t>
  </si>
  <si>
    <t>ORD-0770</t>
  </si>
  <si>
    <t>ORD-0507</t>
  </si>
  <si>
    <t>Customer 165</t>
  </si>
  <si>
    <t>ORD-0669</t>
  </si>
  <si>
    <t>Customer 196</t>
  </si>
  <si>
    <t>ORD-0542</t>
  </si>
  <si>
    <t>ORD-0537</t>
  </si>
  <si>
    <t>Customer 027</t>
  </si>
  <si>
    <t>ORD-0712</t>
  </si>
  <si>
    <t>ORD-1085</t>
  </si>
  <si>
    <t>Customer 244</t>
  </si>
  <si>
    <t>ORD-1127</t>
  </si>
  <si>
    <t>ORD-0003</t>
  </si>
  <si>
    <t>ORD-0926</t>
  </si>
  <si>
    <t>ORD-0714</t>
  </si>
  <si>
    <t>ORD-0690</t>
  </si>
  <si>
    <t>Customer 186</t>
  </si>
  <si>
    <t>ORD-0791</t>
  </si>
  <si>
    <t>Customer 007</t>
  </si>
  <si>
    <t>ORD-0408</t>
  </si>
  <si>
    <t>Customer 044</t>
  </si>
  <si>
    <t>ORD-0943</t>
  </si>
  <si>
    <t>ORD-0744</t>
  </si>
  <si>
    <t>Customer 099</t>
  </si>
  <si>
    <t>ORD-0560</t>
  </si>
  <si>
    <t>ORD-0587</t>
  </si>
  <si>
    <t>Customer 011</t>
  </si>
  <si>
    <t>ORD-0773</t>
  </si>
  <si>
    <t>ORD-0908</t>
  </si>
  <si>
    <t>Customer 150</t>
  </si>
  <si>
    <t>ORD-0187</t>
  </si>
  <si>
    <t>ORD-0219</t>
  </si>
  <si>
    <t>ORD-1110</t>
  </si>
  <si>
    <t>Customer 038</t>
  </si>
  <si>
    <t>ORD-0060</t>
  </si>
  <si>
    <t>Customer 091</t>
  </si>
  <si>
    <t>ORD-0857</t>
  </si>
  <si>
    <t>Customer 039</t>
  </si>
  <si>
    <t>ORD-0916</t>
  </si>
  <si>
    <t>Customer 077</t>
  </si>
  <si>
    <t>ORD-1017</t>
  </si>
  <si>
    <t>Customer 202</t>
  </si>
  <si>
    <t>ORD-1067</t>
  </si>
  <si>
    <t>ORD-0396</t>
  </si>
  <si>
    <t>ORD-0221</t>
  </si>
  <si>
    <t>ORD-0467</t>
  </si>
  <si>
    <t>Customer 173</t>
  </si>
  <si>
    <t>ORD-1050</t>
  </si>
  <si>
    <t>Customer 106</t>
  </si>
  <si>
    <t>ORD-0525</t>
  </si>
  <si>
    <t>Customer 078</t>
  </si>
  <si>
    <t>ORD-0167</t>
  </si>
  <si>
    <t>ORD-0800</t>
  </si>
  <si>
    <t>ORD-0981</t>
  </si>
  <si>
    <t>ORD-0338</t>
  </si>
  <si>
    <t>ORD-0590</t>
  </si>
  <si>
    <t>Customer 049</t>
  </si>
  <si>
    <t>ORD-0631</t>
  </si>
  <si>
    <t>Customer 174</t>
  </si>
  <si>
    <t>ORD-0501</t>
  </si>
  <si>
    <t>Customer 205</t>
  </si>
  <si>
    <t>ORD-1132</t>
  </si>
  <si>
    <t>ORD-0324</t>
  </si>
  <si>
    <t>Customer 154</t>
  </si>
  <si>
    <t>ORD-1117</t>
  </si>
  <si>
    <t>SUM of Profit</t>
  </si>
  <si>
    <t>SUM of Sales</t>
  </si>
  <si>
    <t>Apr-2025</t>
  </si>
  <si>
    <t>ORD-0747</t>
  </si>
  <si>
    <t>Customer 117</t>
  </si>
  <si>
    <t>Aug-2025</t>
  </si>
  <si>
    <t>ORD-1092</t>
  </si>
  <si>
    <t>Dec-2025</t>
  </si>
  <si>
    <t>Feb-2025</t>
  </si>
  <si>
    <t>Jan-2025</t>
  </si>
  <si>
    <t>ORD-0243</t>
  </si>
  <si>
    <t>Jul-2025</t>
  </si>
  <si>
    <t>Customer 211</t>
  </si>
  <si>
    <t>Jun-2025</t>
  </si>
  <si>
    <t>Mar-2025</t>
  </si>
  <si>
    <t>ORD-0390</t>
  </si>
  <si>
    <t>May-2025</t>
  </si>
  <si>
    <t>Customer 017</t>
  </si>
  <si>
    <t>Nov-2025</t>
  </si>
  <si>
    <t>ORD-0171</t>
  </si>
  <si>
    <t>Oct-2025</t>
  </si>
  <si>
    <t>Customer 172</t>
  </si>
  <si>
    <t>Sep-2025</t>
  </si>
  <si>
    <t>Grand Total</t>
  </si>
  <si>
    <t>ORD-0596</t>
  </si>
  <si>
    <t>ORD-0105</t>
  </si>
  <si>
    <t>Customer 242</t>
  </si>
  <si>
    <t>ORD-1097</t>
  </si>
  <si>
    <t>ORD-1124</t>
  </si>
  <si>
    <t>ORD-0517</t>
  </si>
  <si>
    <t>ORD-0515</t>
  </si>
  <si>
    <t>ORD-1051</t>
  </si>
  <si>
    <t>ORD-0426</t>
  </si>
  <si>
    <t>Customer 068</t>
  </si>
  <si>
    <t>ORD-0272</t>
  </si>
  <si>
    <t>Customer 102</t>
  </si>
  <si>
    <t>ORD-1027</t>
  </si>
  <si>
    <t>ORD-0022</t>
  </si>
  <si>
    <t>ORD-1074</t>
  </si>
  <si>
    <t>ORD-0706</t>
  </si>
  <si>
    <t>ORD-0367</t>
  </si>
  <si>
    <t>ORD-0044</t>
  </si>
  <si>
    <t>ORD-0101</t>
  </si>
  <si>
    <t>Customer 237</t>
  </si>
  <si>
    <t>ORD-0522</t>
  </si>
  <si>
    <t>Customer 118</t>
  </si>
  <si>
    <t>ORD-1004</t>
  </si>
  <si>
    <t>Customer 209</t>
  </si>
  <si>
    <t>ORD-0637</t>
  </si>
  <si>
    <t>Customer 210</t>
  </si>
  <si>
    <t>ORD-0733</t>
  </si>
  <si>
    <t>Customer 112</t>
  </si>
  <si>
    <t>ORD-0169</t>
  </si>
  <si>
    <t>ORD-0940</t>
  </si>
  <si>
    <t>ORD-0846</t>
  </si>
  <si>
    <t>ORD-0434</t>
  </si>
  <si>
    <t>ORD-0950</t>
  </si>
  <si>
    <t>ORD-0107</t>
  </si>
  <si>
    <t>Customer 089</t>
  </si>
  <si>
    <t>ORD-0604</t>
  </si>
  <si>
    <t>Customer 100</t>
  </si>
  <si>
    <t>ORD-0892</t>
  </si>
  <si>
    <t>Customer 185</t>
  </si>
  <si>
    <t>ORD-0777</t>
  </si>
  <si>
    <t>ORD-0218</t>
  </si>
  <si>
    <t>ORD-0252</t>
  </si>
  <si>
    <t>ORD-0610</t>
  </si>
  <si>
    <t>Customer 064</t>
  </si>
  <si>
    <t>ORD-1200</t>
  </si>
  <si>
    <t>ORD-1088</t>
  </si>
  <si>
    <t>ORD-0864</t>
  </si>
  <si>
    <t>ORD-0327</t>
  </si>
  <si>
    <t>ORD-1168</t>
  </si>
  <si>
    <t>ORD-0439</t>
  </si>
  <si>
    <t>Customer 070</t>
  </si>
  <si>
    <t>ORD-0131</t>
  </si>
  <si>
    <t>ORD-0735</t>
  </si>
  <si>
    <t>Customer 187</t>
  </si>
  <si>
    <t>ORD-0235</t>
  </si>
  <si>
    <t>ORD-1091</t>
  </si>
  <si>
    <t>Customer 098</t>
  </si>
  <si>
    <t>ORD-0165</t>
  </si>
  <si>
    <t>ORD-1046</t>
  </si>
  <si>
    <t>ORD-0147</t>
  </si>
  <si>
    <t>Customer 193</t>
  </si>
  <si>
    <t>ORD-0460</t>
  </si>
  <si>
    <t>ORD-0224</t>
  </si>
  <si>
    <t>ORD-1076</t>
  </si>
  <si>
    <t>ORD-0870</t>
  </si>
  <si>
    <t>ORD-0186</t>
  </si>
  <si>
    <t>ORD-0376</t>
  </si>
  <si>
    <t>Customer 119</t>
  </si>
  <si>
    <t>ORD-1180</t>
  </si>
  <si>
    <t>ORD-0536</t>
  </si>
  <si>
    <t>ORD-0564</t>
  </si>
  <si>
    <t>ORD-1086</t>
  </si>
  <si>
    <t>Customer 145</t>
  </si>
  <si>
    <t>ORD-0398</t>
  </si>
  <si>
    <t>ORD-1175</t>
  </si>
  <si>
    <t>Customer 105</t>
  </si>
  <si>
    <t>ORD-0749</t>
  </si>
  <si>
    <t>ORD-1012</t>
  </si>
  <si>
    <t>ORD-0474</t>
  </si>
  <si>
    <t>ORD-0911</t>
  </si>
  <si>
    <t>ORD-0079</t>
  </si>
  <si>
    <t>ORD-0986</t>
  </si>
  <si>
    <t>Customer 144</t>
  </si>
  <si>
    <t>ORD-0638</t>
  </si>
  <si>
    <t>ORD-0475</t>
  </si>
  <si>
    <t>Customer 169</t>
  </si>
  <si>
    <t>ORD-0606</t>
  </si>
  <si>
    <t>ORD-0053</t>
  </si>
  <si>
    <t>ORD-0675</t>
  </si>
  <si>
    <t>ORD-0086</t>
  </si>
  <si>
    <t>ORD-0262</t>
  </si>
  <si>
    <t>Customer 082</t>
  </si>
  <si>
    <t>ORD-0244</t>
  </si>
  <si>
    <t>Customer 230</t>
  </si>
  <si>
    <t>ORD-0348</t>
  </si>
  <si>
    <t>ORD-0450</t>
  </si>
  <si>
    <t>ORD-0330</t>
  </si>
  <si>
    <t>Customer 212</t>
  </si>
  <si>
    <t>ORD-0073</t>
  </si>
  <si>
    <t>ORD-0626</t>
  </si>
  <si>
    <t>ORD-0941</t>
  </si>
  <si>
    <t>ORD-0965</t>
  </si>
  <si>
    <t>ORD-0144</t>
  </si>
  <si>
    <t>ORD-0431</t>
  </si>
  <si>
    <t>ORD-0377</t>
  </si>
  <si>
    <t>ORD-1141</t>
  </si>
  <si>
    <t>ORD-0500</t>
  </si>
  <si>
    <t>ORD-0095</t>
  </si>
  <si>
    <t>ORD-0438</t>
  </si>
  <si>
    <t>ORD-0612</t>
  </si>
  <si>
    <t>ORD-0913</t>
  </si>
  <si>
    <t>ORD-0674</t>
  </si>
  <si>
    <t>ORD-0042</t>
  </si>
  <si>
    <t>ORD-0607</t>
  </si>
  <si>
    <t>ORD-0609</t>
  </si>
  <si>
    <t>ORD-0204</t>
  </si>
  <si>
    <t>Customer 213</t>
  </si>
  <si>
    <t>ORD-0226</t>
  </si>
  <si>
    <t>Customer 129</t>
  </si>
  <si>
    <t>ORD-1043</t>
  </si>
  <si>
    <t>ORD-0337</t>
  </si>
  <si>
    <t>Customer 084</t>
  </si>
  <si>
    <t>ORD-0286</t>
  </si>
  <si>
    <t>ORD-0951</t>
  </si>
  <si>
    <t>ORD-0761</t>
  </si>
  <si>
    <t>ORD-0106</t>
  </si>
  <si>
    <t>ORD-0602</t>
  </si>
  <si>
    <t>Customer 101</t>
  </si>
  <si>
    <t>ORD-0599</t>
  </si>
  <si>
    <t>ORD-0709</t>
  </si>
  <si>
    <t>ORD-0703</t>
  </si>
  <si>
    <t>ORD-1039</t>
  </si>
  <si>
    <t>Customer 220</t>
  </si>
  <si>
    <t>ORD-0503</t>
  </si>
  <si>
    <t>Customer 149</t>
  </si>
  <si>
    <t>ORD-0781</t>
  </si>
  <si>
    <t>Customer 023</t>
  </si>
  <si>
    <t>ORD-0756</t>
  </si>
  <si>
    <t>ORD-0066</t>
  </si>
  <si>
    <t>ORD-0830</t>
  </si>
  <si>
    <t>ORD-1161</t>
  </si>
  <si>
    <t>Customer 079</t>
  </si>
  <si>
    <t>ORD-0352</t>
  </si>
  <si>
    <t>ORD-0946</t>
  </si>
  <si>
    <t>ORD-0413</t>
  </si>
  <si>
    <t>ORD-0168</t>
  </si>
  <si>
    <t>ORD-0938</t>
  </si>
  <si>
    <t>ORD-0683</t>
  </si>
  <si>
    <t>Customer 123</t>
  </si>
  <si>
    <t>ORD-0543</t>
  </si>
  <si>
    <t>Customer 204</t>
  </si>
  <si>
    <t>ORD-0260</t>
  </si>
  <si>
    <t>ORD-0100</t>
  </si>
  <si>
    <t>ORD-0375</t>
  </si>
  <si>
    <t>Customer 224</t>
  </si>
  <si>
    <t>ORD-0087</t>
  </si>
  <si>
    <t>ORD-0201</t>
  </si>
  <si>
    <t>ORD-0070</t>
  </si>
  <si>
    <t>ORD-0803</t>
  </si>
  <si>
    <t>ORD-0313</t>
  </si>
  <si>
    <t>Customer 127</t>
  </si>
  <si>
    <t>ORD-1195</t>
  </si>
  <si>
    <t>ORD-0388</t>
  </si>
  <si>
    <t>ORD-0400</t>
  </si>
  <si>
    <t>ORD-0971</t>
  </si>
  <si>
    <t>ORD-0320</t>
  </si>
  <si>
    <t>ORD-0416</t>
  </si>
  <si>
    <t>ORD-0016</t>
  </si>
  <si>
    <t>ORD-0270</t>
  </si>
  <si>
    <t>Customer 232</t>
  </si>
  <si>
    <t>ORD-1113</t>
  </si>
  <si>
    <t>Customer 055</t>
  </si>
  <si>
    <t>ORD-0041</t>
  </si>
  <si>
    <t>ORD-0722</t>
  </si>
  <si>
    <t>ORD-0304</t>
  </si>
  <si>
    <t>ORD-0827</t>
  </si>
  <si>
    <t>ORD-0099</t>
  </si>
  <si>
    <t>ORD-0343</t>
  </si>
  <si>
    <t>ORD-0418</t>
  </si>
  <si>
    <t>ORD-0371</t>
  </si>
  <si>
    <t>ORD-0448</t>
  </si>
  <si>
    <t>ORD-0933</t>
  </si>
  <si>
    <t>Customer 018</t>
  </si>
  <si>
    <t>ORD-0686</t>
  </si>
  <si>
    <t>ORD-0784</t>
  </si>
  <si>
    <t>ORD-0776</t>
  </si>
  <si>
    <t>Customer 121</t>
  </si>
  <si>
    <t>ORD-0233</t>
  </si>
  <si>
    <t>ORD-1186</t>
  </si>
  <si>
    <t>ORD-0274</t>
  </si>
  <si>
    <t>Customer 019</t>
  </si>
  <si>
    <t>ORD-0656</t>
  </si>
  <si>
    <t>Customer 175</t>
  </si>
  <si>
    <t>ORD-0255</t>
  </si>
  <si>
    <t>ORD-0373</t>
  </si>
  <si>
    <t>ORD-1165</t>
  </si>
  <si>
    <t>ORD-0150</t>
  </si>
  <si>
    <t>ORD-0360</t>
  </si>
  <si>
    <t>ORD-0625</t>
  </si>
  <si>
    <t>ORD-0961</t>
  </si>
  <si>
    <t>ORD-0798</t>
  </si>
  <si>
    <t>Customer 071</t>
  </si>
  <si>
    <t>ORD-0259</t>
  </si>
  <si>
    <t>Customer 029</t>
  </si>
  <si>
    <t>ORD-0678</t>
  </si>
  <si>
    <t>ORD-0842</t>
  </si>
  <si>
    <t>ORD-0138</t>
  </si>
  <si>
    <t>ORD-0295</t>
  </si>
  <si>
    <t>Customer 223</t>
  </si>
  <si>
    <t>ORD-1056</t>
  </si>
  <si>
    <t>ORD-0858</t>
  </si>
  <si>
    <t>ORD-0162</t>
  </si>
  <si>
    <t>ORD-0534</t>
  </si>
  <si>
    <t>Customer 240</t>
  </si>
  <si>
    <t>ORD-0792</t>
  </si>
  <si>
    <t>ORD-1096</t>
  </si>
  <si>
    <t>Customer 072</t>
  </si>
  <si>
    <t>ORD-0069</t>
  </si>
  <si>
    <t>Customer 228</t>
  </si>
  <si>
    <t>ORD-0385</t>
  </si>
  <si>
    <t>ORD-0831</t>
  </si>
  <si>
    <t>ORD-0586</t>
  </si>
  <si>
    <t>ORD-0768</t>
  </si>
  <si>
    <t>ORD-0435</t>
  </si>
  <si>
    <t>ORD-0024</t>
  </si>
  <si>
    <t>ORD-0271</t>
  </si>
  <si>
    <t>ORD-0089</t>
  </si>
  <si>
    <t>ORD-0912</t>
  </si>
  <si>
    <t>ORD-0614</t>
  </si>
  <si>
    <t>ORD-0721</t>
  </si>
  <si>
    <t>ORD-0527</t>
  </si>
  <si>
    <t>Customer 083</t>
  </si>
  <si>
    <t>ORD-0741</t>
  </si>
  <si>
    <t>ORD-0682</t>
  </si>
  <si>
    <t>ORD-0720</t>
  </si>
  <si>
    <t>ORD-0603</t>
  </si>
  <si>
    <t>Customer 054</t>
  </si>
  <si>
    <t>ORD-1009</t>
  </si>
  <si>
    <t>Customer 236</t>
  </si>
  <si>
    <t>ORD-1061</t>
  </si>
  <si>
    <t>ORD-0342</t>
  </si>
  <si>
    <t>ORD-0900</t>
  </si>
  <si>
    <t>ORD-0524</t>
  </si>
  <si>
    <t>Customer 045</t>
  </si>
  <si>
    <t>ORD-1147</t>
  </si>
  <si>
    <t>ORD-0597</t>
  </si>
  <si>
    <t>ORD-0155</t>
  </si>
  <si>
    <t>ORD-0353</t>
  </si>
  <si>
    <t>Customer 229</t>
  </si>
  <si>
    <t>ORD-0649</t>
  </si>
  <si>
    <t>ORD-0083</t>
  </si>
  <si>
    <t>ORD-0962</t>
  </si>
  <si>
    <t>ORD-0874</t>
  </si>
  <si>
    <t>ORD-0340</t>
  </si>
  <si>
    <t>ORD-1104</t>
  </si>
  <si>
    <t>ORD-1025</t>
  </si>
  <si>
    <t>ORD-0778</t>
  </si>
  <si>
    <t>ORD-0279</t>
  </si>
  <si>
    <t>Customer 056</t>
  </si>
  <si>
    <t>KPI</t>
  </si>
  <si>
    <t>Value</t>
  </si>
  <si>
    <t>ORD-0952</t>
  </si>
  <si>
    <t>Total Sales</t>
  </si>
  <si>
    <t>ORD-0807</t>
  </si>
  <si>
    <t>ORD-0991</t>
  </si>
  <si>
    <t>ORD-0845</t>
  </si>
  <si>
    <t>ORD-0392</t>
  </si>
  <si>
    <t>Total Profit</t>
  </si>
  <si>
    <t>ORD-0349</t>
  </si>
  <si>
    <t>Customer 006</t>
  </si>
  <si>
    <t>ORD-0181</t>
  </si>
  <si>
    <t>Total Orders</t>
  </si>
  <si>
    <t>ORD-0767</t>
  </si>
  <si>
    <t>ORD-0958</t>
  </si>
  <si>
    <t>ORD-1116</t>
  </si>
  <si>
    <t>Total Quantity</t>
  </si>
  <si>
    <t>ORD-0114</t>
  </si>
  <si>
    <t>ORD-0012</t>
  </si>
  <si>
    <t>Average Order Value</t>
  </si>
  <si>
    <t>ORD-0052</t>
  </si>
  <si>
    <t>Customer 008</t>
  </si>
  <si>
    <t>ORD-0893</t>
  </si>
  <si>
    <t>Customer 053</t>
  </si>
  <si>
    <t>ORD-0033</t>
  </si>
  <si>
    <t>ORD-0092</t>
  </si>
  <si>
    <t>Customer 222</t>
  </si>
  <si>
    <t>ORD-0409</t>
  </si>
  <si>
    <t>ORD-0701</t>
  </si>
  <si>
    <t>Customer 003</t>
  </si>
  <si>
    <t>ORD-0477</t>
  </si>
  <si>
    <t>ORD-1103</t>
  </si>
  <si>
    <t>ORD-0617</t>
  </si>
  <si>
    <t>ORD-0208</t>
  </si>
  <si>
    <t>ORD-0833</t>
  </si>
  <si>
    <t>Customer 028</t>
  </si>
  <si>
    <t>ORD-0247</t>
  </si>
  <si>
    <t>ORD-1054</t>
  </si>
  <si>
    <t>ORD-0468</t>
  </si>
  <si>
    <t>ORD-0232</t>
  </si>
  <si>
    <t>ORD-0084</t>
  </si>
  <si>
    <t>Customer 218</t>
  </si>
  <si>
    <t>ORD-1090</t>
  </si>
  <si>
    <t>Customer 050</t>
  </si>
  <si>
    <t>ORD-1134</t>
  </si>
  <si>
    <t>ORD-1176</t>
  </si>
  <si>
    <t>ORD-0198</t>
  </si>
  <si>
    <t>ORD-0090</t>
  </si>
  <si>
    <t>ORD-0739</t>
  </si>
  <si>
    <t>ORD-0553</t>
  </si>
  <si>
    <t>ORD-0623</t>
  </si>
  <si>
    <t>Customer 178</t>
  </si>
  <si>
    <t>ORD-0484</t>
  </si>
  <si>
    <t>ORD-0063</t>
  </si>
  <si>
    <t>ORD-0470</t>
  </si>
  <si>
    <t>ORD-0020</t>
  </si>
  <si>
    <t>ORD-0192</t>
  </si>
  <si>
    <t>Customer 135</t>
  </si>
  <si>
    <t>ORD-0015</t>
  </si>
  <si>
    <t>ORD-0263</t>
  </si>
  <si>
    <t>ORD-0213</t>
  </si>
  <si>
    <t>ORD-0743</t>
  </si>
  <si>
    <t>Customer 146</t>
  </si>
  <si>
    <t>ORD-0344</t>
  </si>
  <si>
    <t>ORD-0734</t>
  </si>
  <si>
    <t>ORD-0207</t>
  </si>
  <si>
    <t>ORD-0643</t>
  </si>
  <si>
    <t>ORD-0365</t>
  </si>
  <si>
    <t>ORD-0031</t>
  </si>
  <si>
    <t>ORD-0694</t>
  </si>
  <si>
    <t>ORD-0216</t>
  </si>
  <si>
    <t>ORD-1040</t>
  </si>
  <si>
    <t>ORD-0447</t>
  </si>
  <si>
    <t>ORD-0125</t>
  </si>
  <si>
    <t>ORD-0837</t>
  </si>
  <si>
    <t>ORD-0697</t>
  </si>
  <si>
    <t>ORD-0918</t>
  </si>
  <si>
    <t>ORD-0811</t>
  </si>
  <si>
    <t>ORD-1037</t>
  </si>
  <si>
    <t>ORD-0325</t>
  </si>
  <si>
    <t>ORD-0936</t>
  </si>
  <si>
    <t>Customer 203</t>
  </si>
  <si>
    <t>ORD-0766</t>
  </si>
  <si>
    <t>ORD-0239</t>
  </si>
  <si>
    <t>ORD-1149</t>
  </si>
  <si>
    <t>ORD-1152</t>
  </si>
  <si>
    <t>ORD-0174</t>
  </si>
  <si>
    <t>Customer 092</t>
  </si>
  <si>
    <t>ORD-0839</t>
  </si>
  <si>
    <t>ORD-0779</t>
  </si>
  <si>
    <t>ORD-0110</t>
  </si>
  <si>
    <t>ORD-0688</t>
  </si>
  <si>
    <t>ORD-0157</t>
  </si>
  <si>
    <t>ORD-0725</t>
  </si>
  <si>
    <t>ORD-0411</t>
  </si>
  <si>
    <t>ORD-0382</t>
  </si>
  <si>
    <t>Customer 226</t>
  </si>
  <si>
    <t>ORD-0124</t>
  </si>
  <si>
    <t>ORD-0064</t>
  </si>
  <si>
    <t>ORD-0804</t>
  </si>
  <si>
    <t>ORD-0793</t>
  </si>
  <si>
    <t>ORD-0789</t>
  </si>
  <si>
    <t>ORD-0960</t>
  </si>
  <si>
    <t>ORD-0273</t>
  </si>
  <si>
    <t>ORD-0570</t>
  </si>
  <si>
    <t>Customer 179</t>
  </si>
  <si>
    <t>ORD-0755</t>
  </si>
  <si>
    <t>ORD-1016</t>
  </si>
  <si>
    <t>ORD-0303</t>
  </si>
  <si>
    <t>ORD-0230</t>
  </si>
  <si>
    <t>ORD-0436</t>
  </si>
  <si>
    <t>Customer 104</t>
  </si>
  <si>
    <t>ORD-1045</t>
  </si>
  <si>
    <t>ORD-1177</t>
  </si>
  <si>
    <t>ORD-0237</t>
  </si>
  <si>
    <t>ORD-0829</t>
  </si>
  <si>
    <t>ORD-1197</t>
  </si>
  <si>
    <t>ORD-0691</t>
  </si>
  <si>
    <t>ORD-1036</t>
  </si>
  <si>
    <t>ORD-1063</t>
  </si>
  <si>
    <t>ORD-1053</t>
  </si>
  <si>
    <t>ORD-0572</t>
  </si>
  <si>
    <t>ORD-0942</t>
  </si>
  <si>
    <t>ORD-0796</t>
  </si>
  <si>
    <t>ORD-0876</t>
  </si>
  <si>
    <t>ORD-0585</t>
  </si>
  <si>
    <t>ORD-0297</t>
  </si>
  <si>
    <t>ORD-0887</t>
  </si>
  <si>
    <t>ORD-0287</t>
  </si>
  <si>
    <t>ORD-1164</t>
  </si>
  <si>
    <t>ORD-0731</t>
  </si>
  <si>
    <t>ORD-0030</t>
  </si>
  <si>
    <t>ORD-0358</t>
  </si>
  <si>
    <t>ORD-0102</t>
  </si>
  <si>
    <t>ORD-0049</t>
  </si>
  <si>
    <t>ORD-0806</t>
  </si>
  <si>
    <t>Customer 189</t>
  </si>
  <si>
    <t>ORD-1108</t>
  </si>
  <si>
    <t>Customer 060</t>
  </si>
  <si>
    <t>ORD-0236</t>
  </si>
  <si>
    <t>ORD-0472</t>
  </si>
  <si>
    <t>ORD-0788</t>
  </si>
  <si>
    <t>Customer 140</t>
  </si>
  <si>
    <t>ORD-1060</t>
  </si>
  <si>
    <t>ORD-1138</t>
  </si>
  <si>
    <t>ORD-0333</t>
  </si>
  <si>
    <t>ORD-0294</t>
  </si>
  <si>
    <t>ORD-0241</t>
  </si>
  <si>
    <t>ORD-0862</t>
  </si>
  <si>
    <t>ORD-0635</t>
  </si>
  <si>
    <t>ORD-0249</t>
  </si>
  <si>
    <t>ORD-0493</t>
  </si>
  <si>
    <t>ORD-0130</t>
  </si>
  <si>
    <t>ORD-0894</t>
  </si>
  <si>
    <t>ORD-0329</t>
  </si>
  <si>
    <t>ORD-0257</t>
  </si>
  <si>
    <t>ORD-0109</t>
  </si>
  <si>
    <t>ORD-0989</t>
  </si>
  <si>
    <t>ORD-0471</t>
  </si>
  <si>
    <t>ORD-1183</t>
  </si>
  <si>
    <t>ORD-0772</t>
  </si>
  <si>
    <t>ORD-0039</t>
  </si>
  <si>
    <t>ORD-0372</t>
  </si>
  <si>
    <t>ORD-1118</t>
  </si>
  <si>
    <t>ORD-0724</t>
  </si>
  <si>
    <t>ORD-0949</t>
  </si>
  <si>
    <t>ORD-0463</t>
  </si>
  <si>
    <t>ORD-0685</t>
  </si>
  <si>
    <t>ORD-1150</t>
  </si>
  <si>
    <t>ORD-0605</t>
  </si>
  <si>
    <t>ORD-1112</t>
  </si>
  <si>
    <t>ORD-0538</t>
  </si>
  <si>
    <t>Customer 221</t>
  </si>
  <si>
    <t>ORD-0861</t>
  </si>
  <si>
    <t>ORD-0458</t>
  </si>
  <si>
    <t>ORD-1031</t>
  </si>
  <si>
    <t>ORD-0598</t>
  </si>
  <si>
    <t>ORD-0519</t>
  </si>
  <si>
    <t>ORD-0964</t>
  </si>
  <si>
    <t>Customer 021</t>
  </si>
  <si>
    <t>ORD-0909</t>
  </si>
  <si>
    <t>ORD-0113</t>
  </si>
  <si>
    <t>ORD-0613</t>
  </si>
  <si>
    <t>ORD-0432</t>
  </si>
  <si>
    <t>ORD-0785</t>
  </si>
  <si>
    <t>ORD-1159</t>
  </si>
  <si>
    <t>ORD-0774</t>
  </si>
  <si>
    <t>ORD-0280</t>
  </si>
  <si>
    <t>ORD-0790</t>
  </si>
  <si>
    <t>ORD-0516</t>
  </si>
  <si>
    <t>ORD-0509</t>
  </si>
  <si>
    <t>Customer 016</t>
  </si>
  <si>
    <t>ORD-0680</t>
  </si>
  <si>
    <t>ORD-0335</t>
  </si>
  <si>
    <t>ORD-0544</t>
  </si>
  <si>
    <t>ORD-0027</t>
  </si>
  <si>
    <t>ORD-0465</t>
  </si>
  <si>
    <t>ORD-0855</t>
  </si>
  <si>
    <t>ORD-1151</t>
  </si>
  <si>
    <t>ORD-0820</t>
  </si>
  <si>
    <t>ORD-0967</t>
  </si>
  <si>
    <t>ORD-0711</t>
  </si>
  <si>
    <t>ORD-0880</t>
  </si>
  <si>
    <t>ORD-0760</t>
  </si>
  <si>
    <t>ORD-0184</t>
  </si>
  <si>
    <t>ORD-0982</t>
  </si>
  <si>
    <t>ORD-0245</t>
  </si>
  <si>
    <t>Customer 107</t>
  </si>
  <si>
    <t>ORD-0050</t>
  </si>
  <si>
    <t>ORD-0188</t>
  </si>
  <si>
    <t>ORD-0860</t>
  </si>
  <si>
    <t>ORD-0628</t>
  </si>
  <si>
    <t>ORD-0127</t>
  </si>
  <si>
    <t>ORD-0496</t>
  </si>
  <si>
    <t>ORD-0727</t>
  </si>
  <si>
    <t>ORD-0368</t>
  </si>
  <si>
    <t>ORD-1119</t>
  </si>
  <si>
    <t>ORD-1018</t>
  </si>
  <si>
    <t>ORD-0430</t>
  </si>
  <si>
    <t>ORD-0555</t>
  </si>
  <si>
    <t>ORD-0641</t>
  </si>
  <si>
    <t>ORD-0888</t>
  </si>
  <si>
    <t>ORD-0759</t>
  </si>
  <si>
    <t>ORD-0491</t>
  </si>
  <si>
    <t>ORD-1144</t>
  </si>
  <si>
    <t>ORD-0566</t>
  </si>
  <si>
    <t>Customer 057</t>
  </si>
  <si>
    <t>ORD-0402</t>
  </si>
  <si>
    <t>ORD-0574</t>
  </si>
  <si>
    <t>ORD-0314</t>
  </si>
  <si>
    <t>ORD-0018</t>
  </si>
  <si>
    <t>ORD-0437</t>
  </si>
  <si>
    <t>ORD-0655</t>
  </si>
  <si>
    <t>ORD-0953</t>
  </si>
  <si>
    <t>ORD-0582</t>
  </si>
  <si>
    <t>ORD-1184</t>
  </si>
  <si>
    <t>ORD-1123</t>
  </si>
  <si>
    <t>ORD-0939</t>
  </si>
  <si>
    <t>ORD-0383</t>
  </si>
  <si>
    <t>ORD-0723</t>
  </si>
  <si>
    <t>ORD-0948</t>
  </si>
  <si>
    <t>ORD-0240</t>
  </si>
  <si>
    <t>Customer 168</t>
  </si>
  <si>
    <t>ORD-1072</t>
  </si>
  <si>
    <t>ORD-0205</t>
  </si>
  <si>
    <t>ORD-1035</t>
  </si>
  <si>
    <t>ORD-1100</t>
  </si>
  <si>
    <t>ORD-0323</t>
  </si>
  <si>
    <t>ORD-0588</t>
  </si>
  <si>
    <t>ORD-0051</t>
  </si>
  <si>
    <t>ORD-0455</t>
  </si>
  <si>
    <t>ORD-0705</t>
  </si>
  <si>
    <t>ORD-0469</t>
  </si>
  <si>
    <t>ORD-1181</t>
  </si>
  <si>
    <t>ORD-1107</t>
  </si>
  <si>
    <t>ORD-0707</t>
  </si>
  <si>
    <t>ORD-0139</t>
  </si>
  <si>
    <t>ORD-0128</t>
  </si>
  <si>
    <t>ORD-0890</t>
  </si>
  <si>
    <t>ORD-0291</t>
  </si>
  <si>
    <t>ORD-0058</t>
  </si>
  <si>
    <t>Customer 162</t>
  </si>
  <si>
    <t>ORD-0311</t>
  </si>
  <si>
    <t>ORD-0557</t>
  </si>
  <si>
    <t>ORD-0494</t>
  </si>
  <si>
    <t>ORD-1171</t>
  </si>
  <si>
    <t>ORD-1169</t>
  </si>
  <si>
    <t>ORD-0011</t>
  </si>
  <si>
    <t>ORD-0884</t>
  </si>
  <si>
    <t>ORD-0930</t>
  </si>
  <si>
    <t>Customer 164</t>
  </si>
  <si>
    <t>ORD-0395</t>
  </si>
  <si>
    <t>Customer 142</t>
  </si>
  <si>
    <t>ORD-1065</t>
  </si>
  <si>
    <t>ORD-0007</t>
  </si>
  <si>
    <t>ORD-1011</t>
  </si>
  <si>
    <t>ORD-0278</t>
  </si>
  <si>
    <t>ORD-0135</t>
  </si>
  <si>
    <t>Customer 217</t>
  </si>
  <si>
    <t>ORD-0742</t>
  </si>
  <si>
    <t>ORD-0969</t>
  </si>
  <si>
    <t>ORD-0957</t>
  </si>
  <si>
    <t>ORD-0251</t>
  </si>
  <si>
    <t>ORD-0611</t>
  </si>
  <si>
    <t>ORD-0085</t>
  </si>
  <si>
    <t>ORD-0142</t>
  </si>
  <si>
    <t>ORD-0511</t>
  </si>
  <si>
    <t>ORD-0988</t>
  </si>
  <si>
    <t>ORD-0891</t>
  </si>
  <si>
    <t>ORD-0906</t>
  </si>
  <si>
    <t>Customer 151</t>
  </si>
  <si>
    <t>ORD-0054</t>
  </si>
  <si>
    <t>Customer 153</t>
  </si>
  <si>
    <t>ORD-0539</t>
  </si>
  <si>
    <t>ORD-0704</t>
  </si>
  <si>
    <t>ORD-0883</t>
  </si>
  <si>
    <t>ORD-0197</t>
  </si>
  <si>
    <t>ORD-0341</t>
  </si>
  <si>
    <t>ORD-0919</t>
  </si>
  <si>
    <t>ORD-0568</t>
  </si>
  <si>
    <t>ORD-0575</t>
  </si>
  <si>
    <t>ORD-0322</t>
  </si>
  <si>
    <t>ORD-0835</t>
  </si>
  <si>
    <t>ORD-0461</t>
  </si>
  <si>
    <t>ORD-1020</t>
  </si>
  <si>
    <t>ORD-0600</t>
  </si>
  <si>
    <t>ORD-0317</t>
  </si>
  <si>
    <t>ORD-0266</t>
  </si>
  <si>
    <t>ORD-0591</t>
  </si>
  <si>
    <t>ORD-0696</t>
  </si>
  <si>
    <t>ORD-0006</t>
  </si>
  <si>
    <t>ORD-0987</t>
  </si>
  <si>
    <t>ORD-0753</t>
  </si>
  <si>
    <t>ORD-0386</t>
  </si>
  <si>
    <t>ORD-0508</t>
  </si>
  <si>
    <t>ORD-0905</t>
  </si>
  <si>
    <t>ORD-0571</t>
  </si>
  <si>
    <t>ORD-0036</t>
  </si>
  <si>
    <t>Customer 085</t>
  </si>
  <si>
    <t>ORD-0403</t>
  </si>
  <si>
    <t>ORD-0166</t>
  </si>
  <si>
    <t>ORD-0391</t>
  </si>
  <si>
    <t>ORD-1007</t>
  </si>
  <si>
    <t>ORD-0929</t>
  </si>
  <si>
    <t>ORD-0662</t>
  </si>
  <si>
    <t>ORD-0927</t>
  </si>
  <si>
    <t>ORD-0532</t>
  </si>
  <si>
    <t>ORD-0520</t>
  </si>
  <si>
    <t>ORD-0718</t>
  </si>
  <si>
    <t>ORD-0096</t>
  </si>
  <si>
    <t>ORD-0889</t>
  </si>
  <si>
    <t>ORD-0921</t>
  </si>
  <si>
    <t>ORD-0250</t>
  </si>
  <si>
    <t>ORD-0826</t>
  </si>
  <si>
    <t>ORD-0464</t>
  </si>
  <si>
    <t>ORD-0117</t>
  </si>
  <si>
    <t>ORD-0478</t>
  </si>
  <si>
    <t>ORD-0551</t>
  </si>
  <si>
    <t>ORD-0098</t>
  </si>
  <si>
    <t>ORD-0548</t>
  </si>
  <si>
    <t>ORD-0657</t>
  </si>
  <si>
    <t>ORD-0920</t>
  </si>
  <si>
    <t>ORD-0394</t>
  </si>
  <si>
    <t>ORD-1156</t>
  </si>
  <si>
    <t>ORD-0071</t>
  </si>
  <si>
    <t>ORD-0457</t>
  </si>
  <si>
    <t>Customer 190</t>
  </si>
  <si>
    <t>SALES DASHBOARD</t>
  </si>
  <si>
    <t>ORD-0283</t>
  </si>
  <si>
    <t>ORD-1102</t>
  </si>
  <si>
    <t>ORD-0412</t>
  </si>
  <si>
    <t>ORD-1000</t>
  </si>
  <si>
    <t>ORD-0446</t>
  </si>
  <si>
    <t>Business Sales Performance — 2025</t>
  </si>
  <si>
    <t>TOTAL SALES</t>
  </si>
  <si>
    <t>TOTAL PROFIT</t>
  </si>
  <si>
    <t>ORD-0425</t>
  </si>
  <si>
    <t>TOTAL ORDERS</t>
  </si>
  <si>
    <t>ORD-0640</t>
  </si>
  <si>
    <t>ORD-0009</t>
  </si>
  <si>
    <t>ORD-0559</t>
  </si>
  <si>
    <t>ORD-0212</t>
  </si>
  <si>
    <t>ORD-0708</t>
  </si>
  <si>
    <t>ORD-0671</t>
  </si>
  <si>
    <t>ORD-1145</t>
  </si>
  <si>
    <t>TOTAL QUANTITY</t>
  </si>
  <si>
    <t>ORD-0645</t>
  </si>
  <si>
    <t>AVERAGE ORDER VALUE</t>
  </si>
  <si>
    <t>ORD-0578</t>
  </si>
  <si>
    <t>ORD-0935</t>
  </si>
  <si>
    <t>ORD-0624</t>
  </si>
  <si>
    <t>ORD-1109</t>
  </si>
  <si>
    <t>ORD-0126</t>
  </si>
  <si>
    <t>ORD-1064</t>
  </si>
  <si>
    <t>KEY BUSINESS INSIGHTS</t>
  </si>
  <si>
    <t>1)Accessories generated the highest sales among all product categories, indicating strong customer demand for this category.</t>
  </si>
  <si>
    <t>ORD-0351</t>
  </si>
  <si>
    <t>2)South region recorded the highest sales, making it the strongest-performing region in the dataset.</t>
  </si>
  <si>
    <t>3)April 2025 recorded the highest monthly sales, showing a peak in sales performance during this month.</t>
  </si>
  <si>
    <t>ORD-0847</t>
  </si>
  <si>
    <t>4)Monitor was the top-selling product based on sales, making it an important product for the business.</t>
  </si>
  <si>
    <t>5)East region had the lowest sales among the identified regions. Some records were classified as "Unknown" because the region information was missing in the original data.</t>
  </si>
  <si>
    <t>ORD-0824</t>
  </si>
  <si>
    <t>ORD-0449</t>
  </si>
  <si>
    <t>ORD-0782</t>
  </si>
  <si>
    <t>ORD-0836</t>
  </si>
  <si>
    <t>ORD-0813</t>
  </si>
  <si>
    <t>ORD-0621</t>
  </si>
  <si>
    <t>ORD-0754</t>
  </si>
  <si>
    <t>ORD-0134</t>
  </si>
  <si>
    <t>ORD-0452</t>
  </si>
  <si>
    <t>ORD-0526</t>
  </si>
  <si>
    <t>ORD-0663</t>
  </si>
  <si>
    <t>ORD-0305</t>
  </si>
  <si>
    <t>ORD-0546</t>
  </si>
  <si>
    <t>ORD-0284</t>
  </si>
  <si>
    <t>ORD-0417</t>
  </si>
  <si>
    <t>ORD-0456</t>
  </si>
  <si>
    <t>ORD-0644</t>
  </si>
  <si>
    <t>ORD-0528</t>
  </si>
  <si>
    <t>ORD-1179</t>
  </si>
  <si>
    <t>ORD-0209</t>
  </si>
  <si>
    <t>ORD-0975</t>
  </si>
  <si>
    <t>ORD-0445</t>
  </si>
  <si>
    <t>ORD-0318</t>
  </si>
  <si>
    <t>ORD-0248</t>
  </si>
  <si>
    <t>ORD-0786</t>
  </si>
  <si>
    <t>ORD-0118</t>
  </si>
  <si>
    <t>ORD-0652</t>
  </si>
  <si>
    <t>ORD-1194</t>
  </si>
  <si>
    <t>ORD-0795</t>
  </si>
  <si>
    <t>ORD-0040</t>
  </si>
  <si>
    <t>ORD-0190</t>
  </si>
  <si>
    <t>ORD-0152</t>
  </si>
  <si>
    <t>ORD-0601</t>
  </si>
  <si>
    <t>ORD-0443</t>
  </si>
  <si>
    <t>ORD-0141</t>
  </si>
  <si>
    <t>ORD-0480</t>
  </si>
  <si>
    <t>ORD-0497</t>
  </si>
  <si>
    <t>Customer 130</t>
  </si>
  <si>
    <t>ORD-1032</t>
  </si>
  <si>
    <t>ORD-0331</t>
  </si>
  <si>
    <t>Customer 040</t>
  </si>
  <si>
    <t>ORD-0428</t>
  </si>
  <si>
    <t>ORD-0145</t>
  </si>
  <si>
    <t>ORD-0387</t>
  </si>
  <si>
    <t>ORD-0898</t>
  </si>
  <si>
    <t>ORD-1162</t>
  </si>
  <si>
    <t>ORD-0112</t>
  </si>
  <si>
    <t>ORD-1198</t>
  </si>
  <si>
    <t>Customer 176</t>
  </si>
  <si>
    <t>ORD-0299</t>
  </si>
  <si>
    <t>ORD-0072</t>
  </si>
  <si>
    <t>ORD-0277</t>
  </si>
  <si>
    <t>ORD-0737</t>
  </si>
  <si>
    <t>ORD-0850</t>
  </si>
  <si>
    <t>ORD-0309</t>
  </si>
  <si>
    <t>ORD-0875</t>
  </si>
  <si>
    <t>ORD-0055</t>
  </si>
  <si>
    <t>ORD-1058</t>
  </si>
  <si>
    <t>ORD-0347</t>
  </si>
  <si>
    <t>ORD-0869</t>
  </si>
  <si>
    <t>ORD-0234</t>
  </si>
  <si>
    <t>Customer 035</t>
  </si>
  <si>
    <t>ORD-0504</t>
  </si>
  <si>
    <t>ORD-0301</t>
  </si>
  <si>
    <t>ORD-1062</t>
  </si>
  <si>
    <t>ORD-0180</t>
  </si>
  <si>
    <t>ORD-0998</t>
  </si>
  <si>
    <t>ORD-0037</t>
  </si>
  <si>
    <t>ORD-0676</t>
  </si>
  <si>
    <t>ORD-0736</t>
  </si>
  <si>
    <t>ORD-1028</t>
  </si>
  <si>
    <t>ORD-0384</t>
  </si>
  <si>
    <t>ORD-0840</t>
  </si>
  <si>
    <t>ORD-0922</t>
  </si>
  <si>
    <t>ORD-0549</t>
  </si>
  <si>
    <t>ORD-1059</t>
  </si>
  <si>
    <t>ORD-0769</t>
  </si>
  <si>
    <t>ORD-0897</t>
  </si>
  <si>
    <t>ORD-0994</t>
  </si>
  <si>
    <t>ORD-0808</t>
  </si>
  <si>
    <t>ORD-0565</t>
  </si>
  <si>
    <t>ORD-0592</t>
  </si>
  <si>
    <t>ORD-0336</t>
  </si>
  <si>
    <t>ORD-0928</t>
  </si>
  <si>
    <t>ORD-0193</t>
  </si>
  <si>
    <t>ORD-1166</t>
  </si>
  <si>
    <t>ORD-1081</t>
  </si>
  <si>
    <t>ORD-0529</t>
  </si>
  <si>
    <t>ORD-1041</t>
  </si>
  <si>
    <t>ORD-0849</t>
  </si>
  <si>
    <t>ORD-0945</t>
  </si>
  <si>
    <t>ORD-0867</t>
  </si>
  <si>
    <t>ORD-1121</t>
  </si>
  <si>
    <t>ORD-0032</t>
  </si>
  <si>
    <t>ORD-0005</t>
  </si>
  <si>
    <t>ORD-0093</t>
  </si>
  <si>
    <t>ORD-0290</t>
  </si>
  <si>
    <t>ORD-0172</t>
  </si>
  <si>
    <t>ORD-0594</t>
  </si>
  <si>
    <t>ORD-0915</t>
  </si>
  <si>
    <t>ORD-0361</t>
  </si>
  <si>
    <t>ORD-0302</t>
  </si>
  <si>
    <t>ORD-0246</t>
  </si>
  <si>
    <t>ORD-1196</t>
  </si>
  <si>
    <t>ORD-0810</t>
  </si>
  <si>
    <t>ORD-0667</t>
  </si>
  <si>
    <t>ORD-0934</t>
  </si>
  <si>
    <t>ORD-0195</t>
  </si>
  <si>
    <t>Customer 032</t>
  </si>
  <si>
    <t>ORD-0183</t>
  </si>
  <si>
    <t>ORD-0136</t>
  </si>
  <si>
    <t>ORD-0844</t>
  </si>
  <si>
    <t>ORD-1057</t>
  </si>
  <si>
    <t>ORD-1185</t>
  </si>
  <si>
    <t>ORD-0264</t>
  </si>
  <si>
    <t>ORD-0483</t>
  </si>
  <si>
    <t>ORD-0882</t>
  </si>
  <si>
    <t>ORD-0805</t>
  </si>
  <si>
    <t>ORD-0799</t>
  </si>
  <si>
    <t>ORD-1005</t>
  </si>
  <si>
    <t>ORD-0608</t>
  </si>
  <si>
    <t>ORD-0379</t>
  </si>
  <si>
    <t>ORD-1137</t>
  </si>
  <si>
    <t>ORD-0947</t>
  </si>
  <si>
    <t>ORD-1160</t>
  </si>
  <si>
    <t>ORD-0161</t>
  </si>
  <si>
    <t>ORD-1178</t>
  </si>
  <si>
    <t>ORD-0001</t>
  </si>
  <si>
    <t>ORD-0853</t>
  </si>
  <si>
    <t>ORD-0035</t>
  </si>
  <si>
    <t>ORD-0968</t>
  </si>
  <si>
    <t>ORD-0666</t>
  </si>
  <si>
    <t>ORD-1055</t>
  </si>
  <si>
    <t>ORD-0865</t>
  </si>
  <si>
    <t>ORD-0068</t>
  </si>
  <si>
    <t>ORD-0256</t>
  </si>
  <si>
    <t>ORD-0423</t>
  </si>
  <si>
    <t>ORD-0149</t>
  </si>
  <si>
    <t>ORD-0374</t>
  </si>
  <si>
    <t>ORD-1022</t>
  </si>
  <si>
    <t>ORD-1071</t>
  </si>
  <si>
    <t>ORD-1068</t>
  </si>
  <si>
    <t>ORD-0895</t>
  </si>
  <si>
    <t>ORD-0200</t>
  </si>
  <si>
    <t>ORD-1038</t>
  </si>
  <si>
    <t>ORD-0292</t>
  </si>
  <si>
    <t>ORD-0253</t>
  </si>
  <si>
    <t>ORD-0639</t>
  </si>
  <si>
    <t>ORD-0815</t>
  </si>
  <si>
    <t>ORD-0223</t>
  </si>
  <si>
    <t>ORD-0654</t>
  </si>
  <si>
    <t>ORD-1019</t>
  </si>
  <si>
    <t>ORD-0886</t>
  </si>
  <si>
    <t>ORD-0758</t>
  </si>
  <si>
    <t>ORD-0170</t>
  </si>
  <si>
    <t>ORD-1087</t>
  </si>
  <si>
    <t>ORD-0132</t>
  </si>
  <si>
    <t>ORD-0228</t>
  </si>
  <si>
    <t>ORD-0822</t>
  </si>
  <si>
    <t>Customer 001</t>
  </si>
  <si>
    <t>ORD-0914</t>
  </si>
  <si>
    <t>ORD-0729</t>
  </si>
  <si>
    <t>ORD-0646</t>
  </si>
  <si>
    <t>ORD-1093</t>
  </si>
  <si>
    <t>ORD-1021</t>
  </si>
  <si>
    <t>ORD-0151</t>
  </si>
  <si>
    <t>ORD-0787</t>
  </si>
  <si>
    <t>ORD-0160</t>
  </si>
  <si>
    <t>ORD-0103</t>
  </si>
  <si>
    <t>ORD-0056</t>
  </si>
  <si>
    <t>ORD-0047</t>
  </si>
  <si>
    <t>ORD-0406</t>
  </si>
  <si>
    <t>ORD-0397</t>
  </si>
  <si>
    <t>ORD-0288</t>
  </si>
  <si>
    <t>ORD-0014</t>
  </si>
  <si>
    <t>ORD-1106</t>
  </si>
  <si>
    <t>ORD-0740</t>
  </si>
  <si>
    <t>Customer 076</t>
  </si>
  <si>
    <t>ORD-0672</t>
  </si>
  <si>
    <t>ORD-0013</t>
  </si>
  <si>
    <t>ORD-0222</t>
  </si>
  <si>
    <t>ORD-0328</t>
  </si>
  <si>
    <t>ORD-1079</t>
  </si>
  <si>
    <t>ORD-0821</t>
  </si>
  <si>
    <t>Customer 138</t>
  </si>
  <si>
    <t>ORD-1026</t>
  </si>
  <si>
    <t>ORD-1013</t>
  </si>
  <si>
    <t>ORD-0902</t>
  </si>
  <si>
    <t>ORD-0726</t>
  </si>
  <si>
    <t>ORD-0647</t>
  </si>
  <si>
    <t>ORD-0312</t>
  </si>
  <si>
    <t>ORD-0681</t>
  </si>
  <si>
    <t>ORD-0818</t>
  </si>
  <si>
    <t>ORD-0081</t>
  </si>
  <si>
    <t>Customer 033</t>
  </si>
  <si>
    <t>ORD-0659</t>
  </si>
  <si>
    <t>ORD-1006</t>
  </si>
  <si>
    <t>ORD-1105</t>
  </si>
  <si>
    <t>ORD-0871</t>
  </si>
  <si>
    <t>ORD-0589</t>
  </si>
  <si>
    <t>ORD-0173</t>
  </si>
  <si>
    <t>ORD-0355</t>
  </si>
  <si>
    <t>ORD-0530</t>
  </si>
  <si>
    <t>ORD-0819</t>
  </si>
  <si>
    <t>ORD-1078</t>
  </si>
  <si>
    <t>ORD-0153</t>
  </si>
  <si>
    <t>ORD-1148</t>
  </si>
  <si>
    <t>ORD-0877</t>
  </si>
  <si>
    <t>ORD-0399</t>
  </si>
  <si>
    <t>ORD-0956</t>
  </si>
  <si>
    <t>ORD-0851</t>
  </si>
  <si>
    <t>ORD-0502</t>
  </si>
  <si>
    <t>ORD-1008</t>
  </si>
  <si>
    <t>ORD-0476</t>
  </si>
  <si>
    <t>ORD-0983</t>
  </si>
  <si>
    <t>ORD-0664</t>
  </si>
  <si>
    <t>ORD-1191</t>
  </si>
  <si>
    <t>ORD-0554</t>
  </si>
  <si>
    <t>ORD-0029</t>
  </si>
  <si>
    <t>ORD-0547</t>
  </si>
  <si>
    <t>ORD-0841</t>
  </si>
  <si>
    <t>ORD-0677</t>
  </si>
  <si>
    <t>ORD-0048</t>
  </si>
  <si>
    <t>ORD-1080</t>
  </si>
  <si>
    <t>ORD-0148</t>
  </si>
  <si>
    <t>ORD-1002</t>
  </si>
  <si>
    <t>ORD-0801</t>
  </si>
  <si>
    <t>ORD-0211</t>
  </si>
  <si>
    <t>ORD-0665</t>
  </si>
  <si>
    <t>ORD-0997</t>
  </si>
  <si>
    <t>ORD-0937</t>
  </si>
  <si>
    <t>ORD-0873</t>
  </si>
  <si>
    <t>ORD-0363</t>
  </si>
  <si>
    <t>ORD-0282</t>
  </si>
  <si>
    <t>Customer 199</t>
  </si>
  <si>
    <t>ORD-0629</t>
  </si>
  <si>
    <t>ORD-1001</t>
  </si>
  <si>
    <t>ORD-0159</t>
  </si>
  <si>
    <t>ORD-0143</t>
  </si>
  <si>
    <t>ORD-0059</t>
  </si>
  <si>
    <t>ORD-1023</t>
  </si>
  <si>
    <t>ORD-0917</t>
  </si>
  <si>
    <t>ORD-0651</t>
  </si>
  <si>
    <t>ORD-0634</t>
  </si>
  <si>
    <t>ORD-0004</t>
  </si>
  <si>
    <t>ORD-0775</t>
  </si>
  <si>
    <t>ORD-0752</t>
  </si>
  <si>
    <t>ORD-0481</t>
  </si>
  <si>
    <t>ORD-0389</t>
  </si>
  <si>
    <t>ORD-0061</t>
  </si>
  <si>
    <t>ORD-0315</t>
  </si>
  <si>
    <t>ORD-0185</t>
  </si>
  <si>
    <t>ORD-0757</t>
  </si>
  <si>
    <t>ORD-0693</t>
  </si>
  <si>
    <t>ORD-0080</t>
  </si>
  <si>
    <t>ORD-1154</t>
  </si>
  <si>
    <t>ORD-0002</t>
  </si>
  <si>
    <t>ORD-0863</t>
  </si>
  <si>
    <t>ORD-0298</t>
  </si>
  <si>
    <t>ORD-0339</t>
  </si>
  <si>
    <t>ORD-1188</t>
  </si>
  <si>
    <t>ORD-0878</t>
  </si>
  <si>
    <t>ORD-0242</t>
  </si>
  <si>
    <t>ORD-0104</t>
  </si>
  <si>
    <t>Customer 235</t>
  </si>
  <si>
    <t>ORD-0618</t>
  </si>
  <si>
    <t>ORD-0856</t>
  </si>
  <si>
    <t>ORD-0088</t>
  </si>
  <si>
    <t>ORD-0378</t>
  </si>
  <si>
    <t>ORD-1042</t>
  </si>
  <si>
    <t>ORD-0616</t>
  </si>
  <si>
    <t>ORD-0319</t>
  </si>
  <si>
    <t>ORD-0561</t>
  </si>
  <si>
    <t>ORD-0486</t>
  </si>
  <si>
    <t>ORD-1128</t>
  </si>
  <si>
    <t>ORD-0995</t>
  </si>
  <si>
    <t>ORD-0700</t>
  </si>
  <si>
    <t>ORD-0825</t>
  </si>
  <si>
    <t>ORD-0868</t>
  </si>
  <si>
    <t>ORD-0332</t>
  </si>
  <si>
    <t>ORD-0828</t>
  </si>
  <si>
    <t>ORD-1114</t>
  </si>
  <si>
    <t>ORD-0034</t>
  </si>
  <si>
    <t>ORD-0750</t>
  </si>
  <si>
    <t>ORD-0076</t>
  </si>
  <si>
    <t>ORD-1075</t>
  </si>
  <si>
    <t>ORD-1111</t>
  </si>
  <si>
    <t>ORD-0269</t>
  </si>
  <si>
    <t>ORD-0584</t>
  </si>
  <si>
    <t>ORD-1139</t>
  </si>
  <si>
    <t>ORD-0802</t>
  </si>
  <si>
    <t>ORD-0429</t>
  </si>
  <si>
    <t>ORD-0794</t>
  </si>
  <si>
    <t>ORD-0499</t>
  </si>
  <si>
    <t>ORD-1073</t>
  </si>
  <si>
    <t>ORD-0370</t>
  </si>
  <si>
    <t>ORD-0082</t>
  </si>
  <si>
    <t>ORD-0650</t>
  </si>
  <si>
    <t>ORD-0326</t>
  </si>
  <si>
    <t>ORD-0414</t>
  </si>
  <si>
    <t>ORD-0702</t>
  </si>
  <si>
    <t>ORD-0028</t>
  </si>
  <si>
    <t>ORD-0579</t>
  </si>
  <si>
    <t>ORD-0074</t>
  </si>
  <si>
    <t>ORD-0410</t>
  </si>
  <si>
    <t>ORD-0859</t>
  </si>
  <si>
    <t>ORD-1099</t>
  </si>
  <si>
    <t>ORD-0307</t>
  </si>
  <si>
    <t>ORD-0577</t>
  </si>
  <si>
    <t>ORD-0748</t>
  </si>
  <si>
    <t>ORD-0713</t>
  </si>
  <si>
    <t>ORD-0038</t>
  </si>
  <si>
    <t>ORD-0440</t>
  </si>
  <si>
    <t>ORD-0978</t>
  </si>
  <si>
    <t>ORD-0268</t>
  </si>
  <si>
    <t>ORD-0907</t>
  </si>
  <si>
    <t>ORD-0091</t>
  </si>
  <si>
    <t>ORD-0008</t>
  </si>
  <si>
    <t>ORD-0119</t>
  </si>
  <si>
    <t>ORD-0194</t>
  </si>
  <si>
    <t>ORD-1157</t>
  </si>
  <si>
    <t>ORD-0062</t>
  </si>
  <si>
    <t>ORD-0615</t>
  </si>
  <si>
    <t>ORD-0728</t>
  </si>
  <si>
    <t>ORD-1098</t>
  </si>
  <si>
    <t>ORD-0492</t>
  </si>
  <si>
    <t>ORD-0177</t>
  </si>
  <si>
    <t>ORD-0670</t>
  </si>
  <si>
    <t>ORD-0812</t>
  </si>
  <si>
    <t>ORD-0046</t>
  </si>
  <si>
    <t>ORD-0966</t>
  </si>
  <si>
    <t>ORD-0636</t>
  </si>
  <si>
    <t>ORD-0380</t>
  </si>
  <si>
    <t>ORD-0310</t>
  </si>
  <si>
    <t>ORD-0932</t>
  </si>
  <si>
    <t>ORD-0419</t>
  </si>
  <si>
    <t>ORD-0075</t>
  </si>
  <si>
    <t>ORD-1070</t>
  </si>
  <si>
    <t>ORD-0692</t>
  </si>
  <si>
    <t>ORD-0116</t>
  </si>
  <si>
    <t>ORD-1131</t>
  </si>
  <si>
    <t>ORD-1158</t>
  </si>
  <si>
    <t>ORD-1044</t>
  </si>
  <si>
    <t>ORD-0077</t>
  </si>
  <si>
    <t>ORD-0466</t>
  </si>
  <si>
    <t>ORD-0715</t>
  </si>
  <si>
    <t>ORD-1014</t>
  </si>
  <si>
    <t>ORD-0751</t>
  </si>
  <si>
    <t>ORD-0214</t>
  </si>
  <si>
    <t>ORD-1077</t>
  </si>
  <si>
    <t>ORD-1172</t>
  </si>
  <si>
    <t>ORD-0817</t>
  </si>
  <si>
    <t>ORD-0854</t>
  </si>
  <si>
    <t>ORD-1101</t>
  </si>
  <si>
    <t>ORD-0550</t>
  </si>
  <si>
    <t>ORD-0653</t>
  </si>
  <si>
    <t>ORD-1015</t>
  </si>
  <si>
    <t>ORD-0489</t>
  </si>
  <si>
    <t>ORD-1066</t>
  </si>
  <si>
    <t>ORD-0023</t>
  </si>
  <si>
    <t>ORD-0661</t>
  </si>
  <si>
    <t>ORD-1084</t>
  </si>
  <si>
    <t>ORD-0814</t>
  </si>
  <si>
    <t>ORD-0879</t>
  </si>
  <si>
    <t>ORD-0852</t>
  </si>
  <si>
    <t>ORD-0427</t>
  </si>
  <si>
    <t>ORD-1163</t>
  </si>
  <si>
    <t>ORD-1174</t>
  </si>
  <si>
    <t>ORD-0569</t>
  </si>
  <si>
    <t>ORD-0996</t>
  </si>
  <si>
    <t>ORD-0535</t>
  </si>
  <si>
    <t>ORD-0300</t>
  </si>
  <si>
    <t>ORD-0885</t>
  </si>
  <si>
    <t>ORD-0556</t>
  </si>
  <si>
    <t>ORD-0191</t>
  </si>
  <si>
    <t>ORD-0220</t>
  </si>
  <si>
    <t>ORD-0115</t>
  </si>
  <si>
    <t>ORD-0401</t>
  </si>
  <si>
    <t>ORD-0334</t>
  </si>
  <si>
    <t>ORD-0164</t>
  </si>
  <si>
    <t>ORD-0217</t>
  </si>
  <si>
    <t>ORD-0679</t>
  </si>
  <si>
    <t>ORD-0357</t>
  </si>
  <si>
    <t>ORD-0963</t>
  </si>
  <si>
    <t>ORD-0019</t>
  </si>
  <si>
    <t>ORD-0999</t>
  </si>
  <si>
    <t>ORD-0521</t>
  </si>
  <si>
    <t>ORD-0673</t>
  </si>
  <si>
    <t>ORD-1130</t>
  </si>
  <si>
    <t>ORD-0976</t>
  </si>
  <si>
    <t>ORD-1120</t>
  </si>
  <si>
    <t>ORD-0462</t>
  </si>
  <si>
    <t>ORD-1167</t>
  </si>
  <si>
    <t>ORD-0583</t>
  </si>
  <si>
    <t>ORD-0633</t>
  </si>
  <si>
    <t>ORD-1182</t>
  </si>
  <si>
    <t>ORD-0422</t>
  </si>
  <si>
    <t>ORD-0764</t>
  </si>
  <si>
    <t>ORD-0094</t>
  </si>
  <si>
    <t>ORD-0231</t>
  </si>
  <si>
    <t>ORD-0498</t>
  </si>
  <si>
    <t>ORD-1115</t>
  </si>
  <si>
    <t>ORD-0154</t>
  </si>
  <si>
    <t>ORD-0518</t>
  </si>
  <si>
    <t>ORD-0495</t>
  </si>
  <si>
    <t>ORD-0620</t>
  </si>
  <si>
    <t>ORD-0580</t>
  </si>
  <si>
    <t>ORD-0137</t>
  </si>
  <si>
    <t>ORD-0345</t>
  </si>
  <si>
    <t>ORD-0364</t>
  </si>
  <si>
    <t>ORD-0545</t>
  </si>
  <si>
    <t>ORD-0043</t>
  </si>
  <si>
    <t>ORD-0972</t>
  </si>
  <si>
    <t>ORD-0424</t>
  </si>
  <si>
    <t>ORD-1010</t>
  </si>
  <si>
    <t>ORD-1173</t>
  </si>
  <si>
    <t>ORD-0955</t>
  </si>
  <si>
    <t>ORD-0523</t>
  </si>
  <si>
    <t>ORD-0630</t>
  </si>
  <si>
    <t>ORD-0990</t>
  </si>
  <si>
    <t>ORD-0627</t>
  </si>
  <si>
    <t>Customer 043</t>
  </si>
  <si>
    <t>ORD-0993</t>
  </si>
  <si>
    <t>ORD-0359</t>
  </si>
  <si>
    <t>ORD-0684</t>
  </si>
  <si>
    <t>ORD-0896</t>
  </si>
  <si>
    <t>ORD-0057</t>
  </si>
  <si>
    <t>ORD-0593</t>
  </si>
  <si>
    <t>ORD-1142</t>
  </si>
  <si>
    <t>ORD-0487</t>
  </si>
  <si>
    <t>ORD-0573</t>
  </si>
  <si>
    <t>ORD-0350</t>
  </si>
  <si>
    <t>ORD-0977</t>
  </si>
  <si>
    <t>ORD-1190</t>
  </si>
  <si>
    <t>ORD-1192</t>
  </si>
  <si>
    <t>ORD-0010</t>
  </si>
  <si>
    <t>ORD-0175</t>
  </si>
  <si>
    <t>ORD-0293</t>
  </si>
  <si>
    <t>ORD-1170</t>
  </si>
  <si>
    <t>ORD-0156</t>
  </si>
  <si>
    <t>ORD-0078</t>
  </si>
  <si>
    <t>ORD-1029</t>
  </si>
  <si>
    <t>ORD-1082</t>
  </si>
  <si>
    <t>ORD-0581</t>
  </si>
  <si>
    <t>ORD-0903</t>
  </si>
  <si>
    <t>ORD-0473</t>
  </si>
  <si>
    <t>ORD-0698</t>
  </si>
  <si>
    <t>ORD-0848</t>
  </si>
  <si>
    <t>ORD-0420</t>
  </si>
  <si>
    <t>ORD-0229</t>
  </si>
  <si>
    <t>ORD-0648</t>
  </si>
  <si>
    <t>ORD-0254</t>
  </si>
  <si>
    <t>ORD-0267</t>
  </si>
  <si>
    <t>ORD-0362</t>
  </si>
  <si>
    <t>ORD-0158</t>
  </si>
  <si>
    <t>ORD-0225</t>
  </si>
  <si>
    <t>ORD-0595</t>
  </si>
  <si>
    <t>ORD-0108</t>
  </si>
  <si>
    <t>ORD-0381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</si>
</sst>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₹#,##0.00"/>
    <numFmt numFmtId="166" formatCode="&quot;$&quot;#,##0.00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2" numFmtId="165" xfId="0" applyFont="1" applyNumberFormat="1"/>
    <xf borderId="0" fillId="0" fontId="2" numFmtId="166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6" xfId="0" applyFont="1" applyNumberFormat="1"/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Profit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'Monthly Profit'!$B$1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'Monthly Profit'!$A$2:$A$13</c:f>
            </c:strRef>
          </c:cat>
          <c:val>
            <c:numRef>
              <c:f>'Monthly Profit'!$B$2:$B$13</c:f>
              <c:numCache/>
            </c:numRef>
          </c:val>
          <c:smooth val="0"/>
        </c:ser>
        <c:axId val="755187166"/>
        <c:axId val="1736380181"/>
      </c:lineChart>
      <c:catAx>
        <c:axId val="755187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6380181"/>
      </c:catAx>
      <c:valAx>
        <c:axId val="1736380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51871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Products by Sales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'Top Products'!$B$1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'Top Products'!$A$2:$A$24</c:f>
            </c:strRef>
          </c:cat>
          <c:val>
            <c:numRef>
              <c:f>'Top Products'!$B$2:$B$24</c:f>
              <c:numCache/>
            </c:numRef>
          </c:val>
        </c:ser>
        <c:axId val="2126963561"/>
        <c:axId val="739109586"/>
      </c:barChart>
      <c:catAx>
        <c:axId val="21269635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9109586"/>
      </c:catAx>
      <c:valAx>
        <c:axId val="7391095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696356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'Regional Performance'!$B$1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'Regional Performance'!$A$2:$A$7</c:f>
            </c:strRef>
          </c:cat>
          <c:val>
            <c:numRef>
              <c:f>'Regional Performance'!$B$2:$B$7</c:f>
              <c:numCache/>
            </c:numRef>
          </c:val>
        </c:ser>
        <c:axId val="296074964"/>
        <c:axId val="1584700185"/>
      </c:barChart>
      <c:catAx>
        <c:axId val="2960749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4700185"/>
      </c:catAx>
      <c:valAx>
        <c:axId val="15847001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607496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'Category Performance'!$B$1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'Category Performance'!$A$2:$A$6</c:f>
            </c:strRef>
          </c:cat>
          <c:val>
            <c:numRef>
              <c:f>'Category Performance'!$B$2:$B$6</c:f>
              <c:numCache/>
            </c:numRef>
          </c:val>
        </c:ser>
        <c:axId val="1799181038"/>
        <c:axId val="1699368131"/>
      </c:barChart>
      <c:catAx>
        <c:axId val="1799181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368131"/>
      </c:catAx>
      <c:valAx>
        <c:axId val="16993681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91810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Sales'!$B$1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'Monthly Sales'!$A$2:$A$13</c:f>
            </c:strRef>
          </c:cat>
          <c:val>
            <c:numRef>
              <c:f>'Monthly Sales'!$B$2:$B$13</c:f>
              <c:numCache/>
            </c:numRef>
          </c:val>
        </c:ser>
        <c:axId val="2141232287"/>
        <c:axId val="2055307343"/>
      </c:barChart>
      <c:catAx>
        <c:axId val="2141232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307343"/>
      </c:catAx>
      <c:valAx>
        <c:axId val="20553073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12322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'Category Performance'!$B$1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'Category Performance'!$A$2:$A$6</c:f>
            </c:strRef>
          </c:cat>
          <c:val>
            <c:numRef>
              <c:f>'Category Performance'!$B$2:$B$6</c:f>
              <c:numCache/>
            </c:numRef>
          </c:val>
        </c:ser>
        <c:axId val="297209811"/>
        <c:axId val="2034859985"/>
      </c:barChart>
      <c:catAx>
        <c:axId val="297209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4859985"/>
      </c:catAx>
      <c:valAx>
        <c:axId val="2034859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72098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'Regional Performance'!$B$1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'Regional Performance'!$A$2:$A$7</c:f>
            </c:strRef>
          </c:cat>
          <c:val>
            <c:numRef>
              <c:f>'Regional Performance'!$B$2:$B$7</c:f>
              <c:numCache/>
            </c:numRef>
          </c:val>
        </c:ser>
        <c:axId val="1991858172"/>
        <c:axId val="1400649443"/>
      </c:barChart>
      <c:catAx>
        <c:axId val="19918581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0649443"/>
      </c:catAx>
      <c:valAx>
        <c:axId val="14006494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185817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Products by Sales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'Top Products'!$B$1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'Top Products'!$A$2:$A$24</c:f>
            </c:strRef>
          </c:cat>
          <c:val>
            <c:numRef>
              <c:f>'Top Products'!$B$2:$B$24</c:f>
              <c:numCache/>
            </c:numRef>
          </c:val>
        </c:ser>
        <c:axId val="145807308"/>
        <c:axId val="40874477"/>
      </c:barChart>
      <c:catAx>
        <c:axId val="1458073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874477"/>
      </c:catAx>
      <c:valAx>
        <c:axId val="408744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80730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Profit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'Monthly Profit'!$B$1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'Monthly Profit'!$A$2:$A$13</c:f>
            </c:strRef>
          </c:cat>
          <c:val>
            <c:numRef>
              <c:f>'Monthly Profit'!$B$2:$B$13</c:f>
              <c:numCache/>
            </c:numRef>
          </c:val>
          <c:smooth val="0"/>
        </c:ser>
        <c:axId val="996620405"/>
        <c:axId val="508544682"/>
      </c:lineChart>
      <c:catAx>
        <c:axId val="996620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8544682"/>
      </c:catAx>
      <c:valAx>
        <c:axId val="5085446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66204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695325</xdr:colOff>
      <xdr:row>15</xdr:row>
      <xdr:rowOff>85725</xdr:rowOff>
    </xdr:from>
    <xdr:ext cx="3505200" cy="21717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25</xdr:row>
      <xdr:rowOff>152400</xdr:rowOff>
    </xdr:from>
    <xdr:ext cx="3324225" cy="2047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8</xdr:row>
      <xdr:rowOff>123825</xdr:rowOff>
    </xdr:from>
    <xdr:ext cx="3790950" cy="23431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57150</xdr:rowOff>
    </xdr:from>
    <xdr:ext cx="4657725" cy="2886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238125</xdr:colOff>
      <xdr:row>9</xdr:row>
      <xdr:rowOff>104775</xdr:rowOff>
    </xdr:from>
    <xdr:ext cx="3124200" cy="23431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22</xdr:row>
      <xdr:rowOff>95250</xdr:rowOff>
    </xdr:from>
    <xdr:ext cx="3276600" cy="20478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361950</xdr:colOff>
      <xdr:row>22</xdr:row>
      <xdr:rowOff>38100</xdr:rowOff>
    </xdr:from>
    <xdr:ext cx="3429000" cy="21050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34</xdr:row>
      <xdr:rowOff>28575</xdr:rowOff>
    </xdr:from>
    <xdr:ext cx="3324225" cy="20478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285750</xdr:colOff>
      <xdr:row>34</xdr:row>
      <xdr:rowOff>28575</xdr:rowOff>
    </xdr:from>
    <xdr:ext cx="3505200" cy="21717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201" sheet="Cleaned Data"/>
  </cacheSource>
  <cacheFields>
    <cacheField name="Order ID" numFmtId="0">
      <sharedItems>
        <s v="ORD-0514"/>
        <s v="ORD-0552"/>
        <s v="ORD-1187"/>
        <s v="ORD-1034"/>
        <s v="ORD-0771"/>
        <s v="ORD-0097"/>
        <s v="ORD-0510"/>
        <s v="ORD-0924"/>
        <s v="ORD-0974"/>
        <s v="ORD-0992"/>
        <s v="ORD-0980"/>
        <s v="ORD-0308"/>
        <s v="ORD-0832"/>
        <s v="ORD-1129"/>
        <s v="ORD-0111"/>
        <s v="ORD-0732"/>
        <s v="ORD-0562"/>
        <s v="ORD-0984"/>
        <s v="ORD-0296"/>
        <s v="ORD-0289"/>
        <s v="ORD-0451"/>
        <s v="ORD-0658"/>
        <s v="ORD-0482"/>
        <s v="ORD-0843"/>
        <s v="ORD-0453"/>
        <s v="ORD-0442"/>
        <s v="ORD-0872"/>
        <s v="ORD-0695"/>
        <s v="ORD-0730"/>
        <s v="ORD-0120"/>
        <s v="ORD-0719"/>
        <s v="ORD-0196"/>
        <s v="ORD-0433"/>
        <s v="ORD-0970"/>
        <s v="ORD-0202"/>
        <s v="ORD-1125"/>
        <s v="ORD-0954"/>
        <s v="ORD-0459"/>
        <s v="ORD-0421"/>
        <s v="ORD-0668"/>
        <s v="ORD-0178"/>
        <s v="ORD-0065"/>
        <s v="ORD-0265"/>
        <s v="ORD-0533"/>
        <s v="ORD-0763"/>
        <s v="ORD-0485"/>
        <s v="ORD-0746"/>
        <s v="ORD-0745"/>
        <s v="ORD-1095"/>
        <s v="ORD-0146"/>
        <s v="ORD-0179"/>
        <s v="ORD-1047"/>
        <s v="ORD-1143"/>
        <s v="ORD-1193"/>
        <s v="ORD-0689"/>
        <s v="ORD-1122"/>
        <s v="ORD-0642"/>
        <s v="ORD-0797"/>
        <s v="ORD-0346"/>
        <s v="ORD-0567"/>
        <s v="ORD-1030"/>
        <s v="ORD-1133"/>
        <s v="ORD-0026"/>
        <s v="ORD-0405"/>
        <s v="ORD-1146"/>
        <s v="ORD-1135"/>
        <s v="ORD-0407"/>
        <s v="ORD-0182"/>
        <s v="ORD-0834"/>
        <s v="ORD-0215"/>
        <s v="ORD-0959"/>
        <s v="ORD-0925"/>
        <s v="ORD-0285"/>
        <s v="ORD-0227"/>
        <s v="ORD-0783"/>
        <s v="ORD-0699"/>
        <s v="ORD-0199"/>
        <s v="ORD-0140"/>
        <s v="ORD-0944"/>
        <s v="ORD-0415"/>
        <s v="ORD-0762"/>
        <s v="ORD-0923"/>
        <s v="ORD-0505"/>
        <s v="ORD-0765"/>
        <s v="ORD-0931"/>
        <s v="ORD-0281"/>
        <s v="ORD-0129"/>
        <s v="ORD-1199"/>
        <s v="ORD-0910"/>
        <s v="ORD-0025"/>
        <s v="ORD-0619"/>
        <s v="ORD-1126"/>
        <s v="ORD-1033"/>
        <s v="ORD-1069"/>
        <s v="ORD-0067"/>
        <s v="ORD-1052"/>
        <s v="ORD-1094"/>
        <s v="ORD-0716"/>
        <s v="ORD-0354"/>
        <s v="ORD-0838"/>
        <s v="ORD-0540"/>
        <s v="ORD-0275"/>
        <s v="ORD-0881"/>
        <s v="ORD-0780"/>
        <s v="ORD-1140"/>
        <s v="ORD-0632"/>
        <s v="ORD-1155"/>
        <s v="ORD-0316"/>
        <s v="ORD-0973"/>
        <s v="ORD-0823"/>
        <s v="ORD-0321"/>
        <s v="ORD-0717"/>
        <s v="ORD-0479"/>
        <s v="ORD-0866"/>
        <s v="ORD-0513"/>
        <s v="ORD-0531"/>
        <s v="ORD-0687"/>
        <s v="ORD-0021"/>
        <s v="ORD-0121"/>
        <s v="ORD-0710"/>
        <s v="ORD-1136"/>
        <s v="ORD-0393"/>
        <s v="ORD-0176"/>
        <s v="ORD-0899"/>
        <s v="ORD-0660"/>
        <s v="ORD-0563"/>
        <s v="ORD-0816"/>
        <s v="ORD-0404"/>
        <s v="ORD-0122"/>
        <s v="ORD-0356"/>
        <s v="ORD-0306"/>
        <s v="ORD-0809"/>
        <s v="ORD-1048"/>
        <s v="ORD-0238"/>
        <s v="ORD-0541"/>
        <s v="ORD-0558"/>
        <s v="ORD-0488"/>
        <s v="ORD-0261"/>
        <s v="ORD-0189"/>
        <s v="ORD-0506"/>
        <s v="ORD-0444"/>
        <s v="ORD-0985"/>
        <s v="ORD-0901"/>
        <s v="ORD-0369"/>
        <s v="ORD-0123"/>
        <s v="ORD-0258"/>
        <s v="ORD-1049"/>
        <s v="ORD-1189"/>
        <s v="ORD-1083"/>
        <s v="ORD-0622"/>
        <s v="ORD-0738"/>
        <s v="ORD-0454"/>
        <s v="ORD-0979"/>
        <s v="ORD-0133"/>
        <s v="ORD-0210"/>
        <s v="ORD-0366"/>
        <s v="ORD-0576"/>
        <s v="ORD-1024"/>
        <s v="ORD-0163"/>
        <s v="ORD-0904"/>
        <s v="ORD-0017"/>
        <s v="ORD-0045"/>
        <s v="ORD-0276"/>
        <s v="ORD-1003"/>
        <s v="ORD-1089"/>
        <s v="ORD-0441"/>
        <s v="ORD-0490"/>
        <s v="ORD-0203"/>
        <s v="ORD-0206"/>
        <s v="ORD-1153"/>
        <s v="ORD-0512"/>
        <s v="ORD-0770"/>
        <s v="ORD-0507"/>
        <s v="ORD-0669"/>
        <s v="ORD-0542"/>
        <s v="ORD-0537"/>
        <s v="ORD-0712"/>
        <s v="ORD-1085"/>
        <s v="ORD-1127"/>
        <s v="ORD-0003"/>
        <s v="ORD-0926"/>
        <s v="ORD-0714"/>
        <s v="ORD-0690"/>
        <s v="ORD-0791"/>
        <s v="ORD-0408"/>
        <s v="ORD-0943"/>
        <s v="ORD-0744"/>
        <s v="ORD-0560"/>
        <s v="ORD-0587"/>
        <s v="ORD-0773"/>
        <s v="ORD-0908"/>
        <s v="ORD-0187"/>
        <s v="ORD-0219"/>
        <s v="ORD-1110"/>
        <s v="ORD-0060"/>
        <s v="ORD-0857"/>
        <s v="ORD-0916"/>
        <s v="ORD-1017"/>
        <s v="ORD-1067"/>
        <s v="ORD-0396"/>
        <s v="ORD-0221"/>
        <s v="ORD-0467"/>
        <s v="ORD-1050"/>
        <s v="ORD-0525"/>
        <s v="ORD-0167"/>
        <s v="ORD-0800"/>
        <s v="ORD-0981"/>
        <s v="ORD-0338"/>
        <s v="ORD-0590"/>
        <s v="ORD-0631"/>
        <s v="ORD-0501"/>
        <s v="ORD-1132"/>
        <s v="ORD-0324"/>
        <s v="ORD-1117"/>
        <s v="ORD-0747"/>
        <s v="ORD-1092"/>
        <s v="ORD-0243"/>
        <s v="ORD-0390"/>
        <s v="ORD-0171"/>
        <s v="ORD-0596"/>
        <s v="ORD-0105"/>
        <s v="ORD-1097"/>
        <s v="ORD-1124"/>
        <s v="ORD-0517"/>
        <s v="ORD-0515"/>
        <s v="ORD-1051"/>
        <s v="ORD-0426"/>
        <s v="ORD-0272"/>
        <s v="ORD-1027"/>
        <s v="ORD-0022"/>
        <s v="ORD-1074"/>
        <s v="ORD-0706"/>
        <s v="ORD-0367"/>
        <s v="ORD-0044"/>
        <s v="ORD-0101"/>
        <s v="ORD-0522"/>
        <s v="ORD-1004"/>
        <s v="ORD-0637"/>
        <s v="ORD-0733"/>
        <s v="ORD-0169"/>
        <s v="ORD-0940"/>
        <s v="ORD-0846"/>
        <s v="ORD-0434"/>
        <s v="ORD-0950"/>
        <s v="ORD-0107"/>
        <s v="ORD-0604"/>
        <s v="ORD-0892"/>
        <s v="ORD-0777"/>
        <s v="ORD-0218"/>
        <s v="ORD-0252"/>
        <s v="ORD-0610"/>
        <s v="ORD-1200"/>
        <s v="ORD-1088"/>
        <s v="ORD-0864"/>
        <s v="ORD-0327"/>
        <s v="ORD-1168"/>
        <s v="ORD-0439"/>
        <s v="ORD-0131"/>
        <s v="ORD-0735"/>
        <s v="ORD-0235"/>
        <s v="ORD-1091"/>
        <s v="ORD-0165"/>
        <s v="ORD-1046"/>
        <s v="ORD-0147"/>
        <s v="ORD-0460"/>
        <s v="ORD-0224"/>
        <s v="ORD-1076"/>
        <s v="ORD-0870"/>
        <s v="ORD-0186"/>
        <s v="ORD-0376"/>
        <s v="ORD-1180"/>
        <s v="ORD-0536"/>
        <s v="ORD-0564"/>
        <s v="ORD-1086"/>
        <s v="ORD-0398"/>
        <s v="ORD-1175"/>
        <s v="ORD-0749"/>
        <s v="ORD-1012"/>
        <s v="ORD-0474"/>
        <s v="ORD-0911"/>
        <s v="ORD-0079"/>
        <s v="ORD-0986"/>
        <s v="ORD-0638"/>
        <s v="ORD-0475"/>
        <s v="ORD-0606"/>
        <s v="ORD-0053"/>
        <s v="ORD-0675"/>
        <s v="ORD-0086"/>
        <s v="ORD-0262"/>
        <s v="ORD-0244"/>
        <s v="ORD-0348"/>
        <s v="ORD-0450"/>
        <s v="ORD-0330"/>
        <s v="ORD-0073"/>
        <s v="ORD-0626"/>
        <s v="ORD-0941"/>
        <s v="ORD-0965"/>
        <s v="ORD-0144"/>
        <s v="ORD-0431"/>
        <s v="ORD-0377"/>
        <s v="ORD-1141"/>
        <s v="ORD-0500"/>
        <s v="ORD-0095"/>
        <s v="ORD-0438"/>
        <s v="ORD-0612"/>
        <s v="ORD-0913"/>
        <s v="ORD-0674"/>
        <s v="ORD-0042"/>
        <s v="ORD-0607"/>
        <s v="ORD-0609"/>
        <s v="ORD-0204"/>
        <s v="ORD-0226"/>
        <s v="ORD-1043"/>
        <s v="ORD-0337"/>
        <s v="ORD-0286"/>
        <s v="ORD-0951"/>
        <s v="ORD-0761"/>
        <s v="ORD-0106"/>
        <s v="ORD-0602"/>
        <s v="ORD-0599"/>
        <s v="ORD-0709"/>
        <s v="ORD-0703"/>
        <s v="ORD-1039"/>
        <s v="ORD-0503"/>
        <s v="ORD-0781"/>
        <s v="ORD-0756"/>
        <s v="ORD-0066"/>
        <s v="ORD-0830"/>
        <s v="ORD-1161"/>
        <s v="ORD-0352"/>
        <s v="ORD-0946"/>
        <s v="ORD-0413"/>
        <s v="ORD-0168"/>
        <s v="ORD-0938"/>
        <s v="ORD-0683"/>
        <s v="ORD-0543"/>
        <s v="ORD-0260"/>
        <s v="ORD-0100"/>
        <s v="ORD-0375"/>
        <s v="ORD-0087"/>
        <s v="ORD-0201"/>
        <s v="ORD-0070"/>
        <s v="ORD-0803"/>
        <s v="ORD-0313"/>
        <s v="ORD-1195"/>
        <s v="ORD-0388"/>
        <s v="ORD-0400"/>
        <s v="ORD-0971"/>
        <s v="ORD-0320"/>
        <s v="ORD-0416"/>
        <s v="ORD-0016"/>
        <s v="ORD-0270"/>
        <s v="ORD-1113"/>
        <s v="ORD-0041"/>
        <s v="ORD-0722"/>
        <s v="ORD-0304"/>
        <s v="ORD-0827"/>
        <s v="ORD-0099"/>
        <s v="ORD-0343"/>
        <s v="ORD-0418"/>
        <s v="ORD-0371"/>
        <s v="ORD-0448"/>
        <s v="ORD-0933"/>
        <s v="ORD-0686"/>
        <s v="ORD-0784"/>
        <s v="ORD-0776"/>
        <s v="ORD-0233"/>
        <s v="ORD-1186"/>
        <s v="ORD-0274"/>
        <s v="ORD-0656"/>
        <s v="ORD-0255"/>
        <s v="ORD-0373"/>
        <s v="ORD-1165"/>
        <s v="ORD-0150"/>
        <s v="ORD-0360"/>
        <s v="ORD-0625"/>
        <s v="ORD-0961"/>
        <s v="ORD-0798"/>
        <s v="ORD-0259"/>
        <s v="ORD-0678"/>
        <s v="ORD-0842"/>
        <s v="ORD-0138"/>
        <s v="ORD-0295"/>
        <s v="ORD-1056"/>
        <s v="ORD-0858"/>
        <s v="ORD-0162"/>
        <s v="ORD-0534"/>
        <s v="ORD-0792"/>
        <s v="ORD-1096"/>
        <s v="ORD-0069"/>
        <s v="ORD-0385"/>
        <s v="ORD-0831"/>
        <s v="ORD-0586"/>
        <s v="ORD-0768"/>
        <s v="ORD-0435"/>
        <s v="ORD-0024"/>
        <s v="ORD-0271"/>
        <s v="ORD-0089"/>
        <s v="ORD-0912"/>
        <s v="ORD-0614"/>
        <s v="ORD-0721"/>
        <s v="ORD-0527"/>
        <s v="ORD-0741"/>
        <s v="ORD-0682"/>
        <s v="ORD-0720"/>
        <s v="ORD-0603"/>
        <s v="ORD-1009"/>
        <s v="ORD-1061"/>
        <s v="ORD-0342"/>
        <s v="ORD-0900"/>
        <s v="ORD-0524"/>
        <s v="ORD-1147"/>
        <s v="ORD-0597"/>
        <s v="ORD-0155"/>
        <s v="ORD-0353"/>
        <s v="ORD-0649"/>
        <s v="ORD-0083"/>
        <s v="ORD-0962"/>
        <s v="ORD-0874"/>
        <s v="ORD-0340"/>
        <s v="ORD-1104"/>
        <s v="ORD-1025"/>
        <s v="ORD-0778"/>
        <s v="ORD-0279"/>
        <s v="ORD-0952"/>
        <s v="ORD-0807"/>
        <s v="ORD-0991"/>
        <s v="ORD-0845"/>
        <s v="ORD-0392"/>
        <s v="ORD-0349"/>
        <s v="ORD-0181"/>
        <s v="ORD-0767"/>
        <s v="ORD-0958"/>
        <s v="ORD-1116"/>
        <s v="ORD-0114"/>
        <s v="ORD-0012"/>
        <s v="ORD-0052"/>
        <s v="ORD-0893"/>
        <s v="ORD-0033"/>
        <s v="ORD-0092"/>
        <s v="ORD-0409"/>
        <s v="ORD-0701"/>
        <s v="ORD-0477"/>
        <s v="ORD-1103"/>
        <s v="ORD-0617"/>
        <s v="ORD-0208"/>
        <s v="ORD-0833"/>
        <s v="ORD-0247"/>
        <s v="ORD-1054"/>
        <s v="ORD-0468"/>
        <s v="ORD-0232"/>
        <s v="ORD-0084"/>
        <s v="ORD-1090"/>
        <s v="ORD-1134"/>
        <s v="ORD-1176"/>
        <s v="ORD-0198"/>
        <s v="ORD-0090"/>
        <s v="ORD-0739"/>
        <s v="ORD-0553"/>
        <s v="ORD-0623"/>
        <s v="ORD-0484"/>
        <s v="ORD-0063"/>
        <s v="ORD-0470"/>
        <s v="ORD-0020"/>
        <s v="ORD-0192"/>
        <s v="ORD-0015"/>
        <s v="ORD-0263"/>
        <s v="ORD-0213"/>
        <s v="ORD-0743"/>
        <s v="ORD-0344"/>
        <s v="ORD-0734"/>
        <s v="ORD-0207"/>
        <s v="ORD-0643"/>
        <s v="ORD-0365"/>
        <s v="ORD-0031"/>
        <s v="ORD-0694"/>
        <s v="ORD-0216"/>
        <s v="ORD-1040"/>
        <s v="ORD-0447"/>
        <s v="ORD-0125"/>
        <s v="ORD-0837"/>
        <s v="ORD-0697"/>
        <s v="ORD-0918"/>
        <s v="ORD-0811"/>
        <s v="ORD-1037"/>
        <s v="ORD-0325"/>
        <s v="ORD-0936"/>
        <s v="ORD-0766"/>
        <s v="ORD-0239"/>
        <s v="ORD-1149"/>
        <s v="ORD-1152"/>
        <s v="ORD-0174"/>
        <s v="ORD-0839"/>
        <s v="ORD-0779"/>
        <s v="ORD-0110"/>
        <s v="ORD-0688"/>
        <s v="ORD-0157"/>
        <s v="ORD-0725"/>
        <s v="ORD-0411"/>
        <s v="ORD-0382"/>
        <s v="ORD-0124"/>
        <s v="ORD-0064"/>
        <s v="ORD-0804"/>
        <s v="ORD-0793"/>
        <s v="ORD-0789"/>
        <s v="ORD-0960"/>
        <s v="ORD-0273"/>
        <s v="ORD-0570"/>
        <s v="ORD-0755"/>
        <s v="ORD-1016"/>
        <s v="ORD-0303"/>
        <s v="ORD-0230"/>
        <s v="ORD-0436"/>
        <s v="ORD-1045"/>
        <s v="ORD-1177"/>
        <s v="ORD-0237"/>
        <s v="ORD-0829"/>
        <s v="ORD-1197"/>
        <s v="ORD-0691"/>
        <s v="ORD-1036"/>
        <s v="ORD-1063"/>
        <s v="ORD-1053"/>
        <s v="ORD-0572"/>
        <s v="ORD-0942"/>
        <s v="ORD-0796"/>
        <s v="ORD-0876"/>
        <s v="ORD-0585"/>
        <s v="ORD-0297"/>
        <s v="ORD-0887"/>
        <s v="ORD-0287"/>
        <s v="ORD-1164"/>
        <s v="ORD-0731"/>
        <s v="ORD-0030"/>
        <s v="ORD-0358"/>
        <s v="ORD-0102"/>
        <s v="ORD-0049"/>
        <s v="ORD-0806"/>
        <s v="ORD-1108"/>
        <s v="ORD-0236"/>
        <s v="ORD-0472"/>
        <s v="ORD-0788"/>
        <s v="ORD-1060"/>
        <s v="ORD-1138"/>
        <s v="ORD-0333"/>
        <s v="ORD-0294"/>
        <s v="ORD-0241"/>
        <s v="ORD-0862"/>
        <s v="ORD-0635"/>
        <s v="ORD-0249"/>
        <s v="ORD-0493"/>
        <s v="ORD-0130"/>
        <s v="ORD-0894"/>
        <s v="ORD-0329"/>
        <s v="ORD-0257"/>
        <s v="ORD-0109"/>
        <s v="ORD-0989"/>
        <s v="ORD-0471"/>
        <s v="ORD-1183"/>
        <s v="ORD-0772"/>
        <s v="ORD-0039"/>
        <s v="ORD-0372"/>
        <s v="ORD-1118"/>
        <s v="ORD-0724"/>
        <s v="ORD-0949"/>
        <s v="ORD-0463"/>
        <s v="ORD-0685"/>
        <s v="ORD-1150"/>
        <s v="ORD-0605"/>
        <s v="ORD-1112"/>
        <s v="ORD-0538"/>
        <s v="ORD-0861"/>
        <s v="ORD-0458"/>
        <s v="ORD-1031"/>
        <s v="ORD-0598"/>
        <s v="ORD-0519"/>
        <s v="ORD-0964"/>
        <s v="ORD-0909"/>
        <s v="ORD-0113"/>
        <s v="ORD-0613"/>
        <s v="ORD-0432"/>
        <s v="ORD-0785"/>
        <s v="ORD-1159"/>
        <s v="ORD-0774"/>
        <s v="ORD-0280"/>
        <s v="ORD-0790"/>
        <s v="ORD-0516"/>
        <s v="ORD-0509"/>
        <s v="ORD-0680"/>
        <s v="ORD-0335"/>
        <s v="ORD-0544"/>
        <s v="ORD-0027"/>
        <s v="ORD-0465"/>
        <s v="ORD-0855"/>
        <s v="ORD-1151"/>
        <s v="ORD-0820"/>
        <s v="ORD-0967"/>
        <s v="ORD-0711"/>
        <s v="ORD-0880"/>
        <s v="ORD-0760"/>
        <s v="ORD-0184"/>
        <s v="ORD-0982"/>
        <s v="ORD-0245"/>
        <s v="ORD-0050"/>
        <s v="ORD-0188"/>
        <s v="ORD-0860"/>
        <s v="ORD-0628"/>
        <s v="ORD-0127"/>
        <s v="ORD-0496"/>
        <s v="ORD-0727"/>
        <s v="ORD-0368"/>
        <s v="ORD-1119"/>
        <s v="ORD-1018"/>
        <s v="ORD-0430"/>
        <s v="ORD-0555"/>
        <s v="ORD-0641"/>
        <s v="ORD-0888"/>
        <s v="ORD-0759"/>
        <s v="ORD-0491"/>
        <s v="ORD-1144"/>
        <s v="ORD-0566"/>
        <s v="ORD-0402"/>
        <s v="ORD-0574"/>
        <s v="ORD-0314"/>
        <s v="ORD-0018"/>
        <s v="ORD-0437"/>
        <s v="ORD-0655"/>
        <s v="ORD-0953"/>
        <s v="ORD-0582"/>
        <s v="ORD-1184"/>
        <s v="ORD-1123"/>
        <s v="ORD-0939"/>
        <s v="ORD-0383"/>
        <s v="ORD-0723"/>
        <s v="ORD-0948"/>
        <s v="ORD-0240"/>
        <s v="ORD-1072"/>
        <s v="ORD-0205"/>
        <s v="ORD-1035"/>
        <s v="ORD-1100"/>
        <s v="ORD-0323"/>
        <s v="ORD-0588"/>
        <s v="ORD-0051"/>
        <s v="ORD-0455"/>
        <s v="ORD-0705"/>
        <s v="ORD-0469"/>
        <s v="ORD-1181"/>
        <s v="ORD-1107"/>
        <s v="ORD-0707"/>
        <s v="ORD-0139"/>
        <s v="ORD-0128"/>
        <s v="ORD-0890"/>
        <s v="ORD-0291"/>
        <s v="ORD-0058"/>
        <s v="ORD-0311"/>
        <s v="ORD-0557"/>
        <s v="ORD-0494"/>
        <s v="ORD-1171"/>
        <s v="ORD-1169"/>
        <s v="ORD-0011"/>
        <s v="ORD-0884"/>
        <s v="ORD-0930"/>
        <s v="ORD-0395"/>
        <s v="ORD-1065"/>
        <s v="ORD-0007"/>
        <s v="ORD-1011"/>
        <s v="ORD-0278"/>
        <s v="ORD-0135"/>
        <s v="ORD-0742"/>
        <s v="ORD-0969"/>
        <s v="ORD-0957"/>
        <s v="ORD-0251"/>
        <s v="ORD-0611"/>
        <s v="ORD-0085"/>
        <s v="ORD-0142"/>
        <s v="ORD-0511"/>
        <s v="ORD-0988"/>
        <s v="ORD-0891"/>
        <s v="ORD-0906"/>
        <s v="ORD-0054"/>
        <s v="ORD-0539"/>
        <s v="ORD-0704"/>
        <s v="ORD-0883"/>
        <s v="ORD-0197"/>
        <s v="ORD-0341"/>
        <s v="ORD-0919"/>
        <s v="ORD-0568"/>
        <s v="ORD-0575"/>
        <s v="ORD-0322"/>
        <s v="ORD-0835"/>
        <s v="ORD-0461"/>
        <s v="ORD-1020"/>
        <s v="ORD-0600"/>
        <s v="ORD-0317"/>
        <s v="ORD-0266"/>
        <s v="ORD-0591"/>
        <s v="ORD-0696"/>
        <s v="ORD-0006"/>
        <s v="ORD-0987"/>
        <s v="ORD-0753"/>
        <s v="ORD-0386"/>
        <s v="ORD-0508"/>
        <s v="ORD-0905"/>
        <s v="ORD-0571"/>
        <s v="ORD-0036"/>
        <s v="ORD-0403"/>
        <s v="ORD-0166"/>
        <s v="ORD-0391"/>
        <s v="ORD-1007"/>
        <s v="ORD-0929"/>
        <s v="ORD-0662"/>
        <s v="ORD-0927"/>
        <s v="ORD-0532"/>
        <s v="ORD-0520"/>
        <s v="ORD-0718"/>
        <s v="ORD-0096"/>
        <s v="ORD-0889"/>
        <s v="ORD-0921"/>
        <s v="ORD-0250"/>
        <s v="ORD-0826"/>
        <s v="ORD-0464"/>
        <s v="ORD-0117"/>
        <s v="ORD-0478"/>
        <s v="ORD-0551"/>
        <s v="ORD-0098"/>
        <s v="ORD-0548"/>
        <s v="ORD-0657"/>
        <s v="ORD-0920"/>
        <s v="ORD-0394"/>
        <s v="ORD-1156"/>
        <s v="ORD-0071"/>
        <s v="ORD-0457"/>
        <s v="ORD-0283"/>
        <s v="ORD-1102"/>
        <s v="ORD-0412"/>
        <s v="ORD-1000"/>
        <s v="ORD-0446"/>
        <s v="ORD-0425"/>
        <s v="ORD-0640"/>
        <s v="ORD-0009"/>
        <s v="ORD-0559"/>
        <s v="ORD-0212"/>
        <s v="ORD-0708"/>
        <s v="ORD-0671"/>
        <s v="ORD-1145"/>
        <s v="ORD-0645"/>
        <s v="ORD-0578"/>
        <s v="ORD-0935"/>
        <s v="ORD-0624"/>
        <s v="ORD-1109"/>
        <s v="ORD-0126"/>
        <s v="ORD-1064"/>
        <s v="ORD-0351"/>
        <s v="ORD-0847"/>
        <s v="ORD-0824"/>
        <s v="ORD-0449"/>
        <s v="ORD-0782"/>
        <s v="ORD-0836"/>
        <s v="ORD-0813"/>
        <s v="ORD-0621"/>
        <s v="ORD-0754"/>
        <s v="ORD-0134"/>
        <s v="ORD-0452"/>
        <s v="ORD-0526"/>
        <s v="ORD-0663"/>
        <s v="ORD-0305"/>
        <s v="ORD-0546"/>
        <s v="ORD-0284"/>
        <s v="ORD-0417"/>
        <s v="ORD-0456"/>
        <s v="ORD-0644"/>
        <s v="ORD-0528"/>
        <s v="ORD-1179"/>
        <s v="ORD-0209"/>
        <s v="ORD-0975"/>
        <s v="ORD-0445"/>
        <s v="ORD-0318"/>
        <s v="ORD-0248"/>
        <s v="ORD-0786"/>
        <s v="ORD-0118"/>
        <s v="ORD-0652"/>
        <s v="ORD-1194"/>
        <s v="ORD-0795"/>
        <s v="ORD-0040"/>
        <s v="ORD-0190"/>
        <s v="ORD-0152"/>
        <s v="ORD-0601"/>
        <s v="ORD-0443"/>
        <s v="ORD-0141"/>
        <s v="ORD-0480"/>
        <s v="ORD-0497"/>
        <s v="ORD-1032"/>
        <s v="ORD-0331"/>
        <s v="ORD-0428"/>
        <s v="ORD-0145"/>
        <s v="ORD-0387"/>
        <s v="ORD-0898"/>
        <s v="ORD-1162"/>
        <s v="ORD-0112"/>
        <s v="ORD-1198"/>
        <s v="ORD-0299"/>
        <s v="ORD-0072"/>
        <s v="ORD-0277"/>
        <s v="ORD-0737"/>
        <s v="ORD-0850"/>
        <s v="ORD-0309"/>
        <s v="ORD-0875"/>
        <s v="ORD-0055"/>
        <s v="ORD-1058"/>
        <s v="ORD-0347"/>
        <s v="ORD-0869"/>
        <s v="ORD-0234"/>
        <s v="ORD-0504"/>
        <s v="ORD-0301"/>
        <s v="ORD-1062"/>
        <s v="ORD-0180"/>
        <s v="ORD-0998"/>
        <s v="ORD-0037"/>
        <s v="ORD-0676"/>
        <s v="ORD-0736"/>
        <s v="ORD-1028"/>
        <s v="ORD-0384"/>
        <s v="ORD-0840"/>
        <s v="ORD-0922"/>
        <s v="ORD-0549"/>
        <s v="ORD-1059"/>
        <s v="ORD-0769"/>
        <s v="ORD-0897"/>
        <s v="ORD-0994"/>
        <s v="ORD-0808"/>
        <s v="ORD-0565"/>
        <s v="ORD-0592"/>
        <s v="ORD-0336"/>
        <s v="ORD-0928"/>
        <s v="ORD-0193"/>
        <s v="ORD-1166"/>
        <s v="ORD-1081"/>
        <s v="ORD-0529"/>
        <s v="ORD-1041"/>
        <s v="ORD-0849"/>
        <s v="ORD-0945"/>
        <s v="ORD-0867"/>
        <s v="ORD-1121"/>
        <s v="ORD-0032"/>
        <s v="ORD-0005"/>
        <s v="ORD-0093"/>
        <s v="ORD-0290"/>
        <s v="ORD-0172"/>
        <s v="ORD-0594"/>
        <s v="ORD-0915"/>
        <s v="ORD-0361"/>
        <s v="ORD-0302"/>
        <s v="ORD-0246"/>
        <s v="ORD-1196"/>
        <s v="ORD-0810"/>
        <s v="ORD-0667"/>
        <s v="ORD-0934"/>
        <s v="ORD-0195"/>
        <s v="ORD-0183"/>
        <s v="ORD-0136"/>
        <s v="ORD-0844"/>
        <s v="ORD-1057"/>
        <s v="ORD-1185"/>
        <s v="ORD-0264"/>
        <s v="ORD-0483"/>
        <s v="ORD-0882"/>
        <s v="ORD-0805"/>
        <s v="ORD-0799"/>
        <s v="ORD-1005"/>
        <s v="ORD-0608"/>
        <s v="ORD-0379"/>
        <s v="ORD-1137"/>
        <s v="ORD-0947"/>
        <s v="ORD-1160"/>
        <s v="ORD-0161"/>
        <s v="ORD-1178"/>
        <s v="ORD-0001"/>
        <s v="ORD-0853"/>
        <s v="ORD-0035"/>
        <s v="ORD-0968"/>
        <s v="ORD-0666"/>
        <s v="ORD-1055"/>
        <s v="ORD-0865"/>
        <s v="ORD-0068"/>
        <s v="ORD-0256"/>
        <s v="ORD-0423"/>
        <s v="ORD-0149"/>
        <s v="ORD-0374"/>
        <s v="ORD-1022"/>
        <s v="ORD-1071"/>
        <s v="ORD-1068"/>
        <s v="ORD-0895"/>
        <s v="ORD-0200"/>
        <s v="ORD-1038"/>
        <s v="ORD-0292"/>
        <s v="ORD-0253"/>
        <s v="ORD-0639"/>
        <s v="ORD-0815"/>
        <s v="ORD-0223"/>
        <s v="ORD-0654"/>
        <s v="ORD-1019"/>
        <s v="ORD-0886"/>
        <s v="ORD-0758"/>
        <s v="ORD-0170"/>
        <s v="ORD-1087"/>
        <s v="ORD-0132"/>
        <s v="ORD-0228"/>
        <s v="ORD-0822"/>
        <s v="ORD-0914"/>
        <s v="ORD-0729"/>
        <s v="ORD-0646"/>
        <s v="ORD-1093"/>
        <s v="ORD-1021"/>
        <s v="ORD-0151"/>
        <s v="ORD-0787"/>
        <s v="ORD-0160"/>
        <s v="ORD-0103"/>
        <s v="ORD-0056"/>
        <s v="ORD-0047"/>
        <s v="ORD-0406"/>
        <s v="ORD-0397"/>
        <s v="ORD-0288"/>
        <s v="ORD-0014"/>
        <s v="ORD-1106"/>
        <s v="ORD-0740"/>
        <s v="ORD-0672"/>
        <s v="ORD-0013"/>
        <s v="ORD-0222"/>
        <s v="ORD-0328"/>
        <s v="ORD-1079"/>
        <s v="ORD-0821"/>
        <s v="ORD-1026"/>
        <s v="ORD-1013"/>
        <s v="ORD-0902"/>
        <s v="ORD-0726"/>
        <s v="ORD-0647"/>
        <s v="ORD-0312"/>
        <s v="ORD-0681"/>
        <s v="ORD-0818"/>
        <s v="ORD-0081"/>
        <s v="ORD-0659"/>
        <s v="ORD-1006"/>
        <s v="ORD-1105"/>
        <s v="ORD-0871"/>
        <s v="ORD-0589"/>
        <s v="ORD-0173"/>
        <s v="ORD-0355"/>
        <s v="ORD-0530"/>
        <s v="ORD-0819"/>
        <s v="ORD-1078"/>
        <s v="ORD-0153"/>
        <s v="ORD-1148"/>
        <s v="ORD-0877"/>
        <s v="ORD-0399"/>
        <s v="ORD-0956"/>
        <s v="ORD-0851"/>
        <s v="ORD-0502"/>
        <s v="ORD-1008"/>
        <s v="ORD-0476"/>
        <s v="ORD-0983"/>
        <s v="ORD-0664"/>
        <s v="ORD-1191"/>
        <s v="ORD-0554"/>
        <s v="ORD-0029"/>
        <s v="ORD-0547"/>
        <s v="ORD-0841"/>
        <s v="ORD-0677"/>
        <s v="ORD-0048"/>
        <s v="ORD-1080"/>
        <s v="ORD-0148"/>
        <s v="ORD-1002"/>
        <s v="ORD-0801"/>
        <s v="ORD-0211"/>
        <s v="ORD-0665"/>
        <s v="ORD-0997"/>
        <s v="ORD-0937"/>
        <s v="ORD-0873"/>
        <s v="ORD-0363"/>
        <s v="ORD-0282"/>
        <s v="ORD-0629"/>
        <s v="ORD-1001"/>
        <s v="ORD-0159"/>
        <s v="ORD-0143"/>
        <s v="ORD-0059"/>
        <s v="ORD-1023"/>
        <s v="ORD-0917"/>
        <s v="ORD-0651"/>
        <s v="ORD-0634"/>
        <s v="ORD-0004"/>
        <s v="ORD-0775"/>
        <s v="ORD-0752"/>
        <s v="ORD-0481"/>
        <s v="ORD-0389"/>
        <s v="ORD-0061"/>
        <s v="ORD-0315"/>
        <s v="ORD-0185"/>
        <s v="ORD-0757"/>
        <s v="ORD-0693"/>
        <s v="ORD-0080"/>
        <s v="ORD-1154"/>
        <s v="ORD-0002"/>
        <s v="ORD-0863"/>
        <s v="ORD-0298"/>
        <s v="ORD-0339"/>
        <s v="ORD-1188"/>
        <s v="ORD-0878"/>
        <s v="ORD-0242"/>
        <s v="ORD-0104"/>
        <s v="ORD-0618"/>
        <s v="ORD-0856"/>
        <s v="ORD-0088"/>
        <s v="ORD-0378"/>
        <s v="ORD-1042"/>
        <s v="ORD-0616"/>
        <s v="ORD-0319"/>
        <s v="ORD-0561"/>
        <s v="ORD-0486"/>
        <s v="ORD-1128"/>
        <s v="ORD-0995"/>
        <s v="ORD-0700"/>
        <s v="ORD-0825"/>
        <s v="ORD-0868"/>
        <s v="ORD-0332"/>
        <s v="ORD-0828"/>
        <s v="ORD-1114"/>
        <s v="ORD-0034"/>
        <s v="ORD-0750"/>
        <s v="ORD-0076"/>
        <s v="ORD-1075"/>
        <s v="ORD-1111"/>
        <s v="ORD-0269"/>
        <s v="ORD-0584"/>
        <s v="ORD-1139"/>
        <s v="ORD-0802"/>
        <s v="ORD-0429"/>
        <s v="ORD-0794"/>
        <s v="ORD-0499"/>
        <s v="ORD-1073"/>
        <s v="ORD-0370"/>
        <s v="ORD-0082"/>
        <s v="ORD-0650"/>
        <s v="ORD-0326"/>
        <s v="ORD-0414"/>
        <s v="ORD-0702"/>
        <s v="ORD-0028"/>
        <s v="ORD-0579"/>
        <s v="ORD-0074"/>
        <s v="ORD-0410"/>
        <s v="ORD-0859"/>
        <s v="ORD-1099"/>
        <s v="ORD-0307"/>
        <s v="ORD-0577"/>
        <s v="ORD-0748"/>
        <s v="ORD-0713"/>
        <s v="ORD-0038"/>
        <s v="ORD-0440"/>
        <s v="ORD-0978"/>
        <s v="ORD-0268"/>
        <s v="ORD-0907"/>
        <s v="ORD-0091"/>
        <s v="ORD-0008"/>
        <s v="ORD-0119"/>
        <s v="ORD-0194"/>
        <s v="ORD-1157"/>
        <s v="ORD-0062"/>
        <s v="ORD-0615"/>
        <s v="ORD-0728"/>
        <s v="ORD-1098"/>
        <s v="ORD-0492"/>
        <s v="ORD-0177"/>
        <s v="ORD-0670"/>
        <s v="ORD-0812"/>
        <s v="ORD-0046"/>
        <s v="ORD-0966"/>
        <s v="ORD-0636"/>
        <s v="ORD-0380"/>
        <s v="ORD-0310"/>
        <s v="ORD-0932"/>
        <s v="ORD-0419"/>
        <s v="ORD-0075"/>
        <s v="ORD-1070"/>
        <s v="ORD-0692"/>
        <s v="ORD-0116"/>
        <s v="ORD-1131"/>
        <s v="ORD-1158"/>
        <s v="ORD-1044"/>
        <s v="ORD-0077"/>
        <s v="ORD-0466"/>
        <s v="ORD-0715"/>
        <s v="ORD-1014"/>
        <s v="ORD-0751"/>
        <s v="ORD-0214"/>
        <s v="ORD-1077"/>
        <s v="ORD-1172"/>
        <s v="ORD-0817"/>
        <s v="ORD-0854"/>
        <s v="ORD-1101"/>
        <s v="ORD-0550"/>
        <s v="ORD-0653"/>
        <s v="ORD-1015"/>
        <s v="ORD-0489"/>
        <s v="ORD-1066"/>
        <s v="ORD-0023"/>
        <s v="ORD-0661"/>
        <s v="ORD-1084"/>
        <s v="ORD-0814"/>
        <s v="ORD-0879"/>
        <s v="ORD-0852"/>
        <s v="ORD-0427"/>
        <s v="ORD-1163"/>
        <s v="ORD-1174"/>
        <s v="ORD-0569"/>
        <s v="ORD-0996"/>
        <s v="ORD-0535"/>
        <s v="ORD-0300"/>
        <s v="ORD-0885"/>
        <s v="ORD-0556"/>
        <s v="ORD-0191"/>
        <s v="ORD-0220"/>
        <s v="ORD-0115"/>
        <s v="ORD-0401"/>
        <s v="ORD-0334"/>
        <s v="ORD-0164"/>
        <s v="ORD-0217"/>
        <s v="ORD-0679"/>
        <s v="ORD-0357"/>
        <s v="ORD-0963"/>
        <s v="ORD-0019"/>
        <s v="ORD-0999"/>
        <s v="ORD-0521"/>
        <s v="ORD-0673"/>
        <s v="ORD-1130"/>
        <s v="ORD-0976"/>
        <s v="ORD-1120"/>
        <s v="ORD-0462"/>
        <s v="ORD-1167"/>
        <s v="ORD-0583"/>
        <s v="ORD-0633"/>
        <s v="ORD-1182"/>
        <s v="ORD-0422"/>
        <s v="ORD-0764"/>
        <s v="ORD-0094"/>
        <s v="ORD-0231"/>
        <s v="ORD-0498"/>
        <s v="ORD-1115"/>
        <s v="ORD-0154"/>
        <s v="ORD-0518"/>
        <s v="ORD-0495"/>
        <s v="ORD-0620"/>
        <s v="ORD-0580"/>
        <s v="ORD-0137"/>
        <s v="ORD-0345"/>
        <s v="ORD-0364"/>
        <s v="ORD-0545"/>
        <s v="ORD-0043"/>
        <s v="ORD-0972"/>
        <s v="ORD-0424"/>
        <s v="ORD-1010"/>
        <s v="ORD-1173"/>
        <s v="ORD-0955"/>
        <s v="ORD-0523"/>
        <s v="ORD-0630"/>
        <s v="ORD-0990"/>
        <s v="ORD-0627"/>
        <s v="ORD-0993"/>
        <s v="ORD-0359"/>
        <s v="ORD-0684"/>
        <s v="ORD-0896"/>
        <s v="ORD-0057"/>
        <s v="ORD-0593"/>
        <s v="ORD-1142"/>
        <s v="ORD-0487"/>
        <s v="ORD-0573"/>
        <s v="ORD-0350"/>
        <s v="ORD-0977"/>
        <s v="ORD-1190"/>
        <s v="ORD-1192"/>
        <s v="ORD-0010"/>
        <s v="ORD-0175"/>
        <s v="ORD-0293"/>
        <s v="ORD-1170"/>
        <s v="ORD-0156"/>
        <s v="ORD-0078"/>
        <s v="ORD-1029"/>
        <s v="ORD-1082"/>
        <s v="ORD-0581"/>
        <s v="ORD-0903"/>
        <s v="ORD-0473"/>
        <s v="ORD-0698"/>
        <s v="ORD-0848"/>
        <s v="ORD-0420"/>
        <s v="ORD-0229"/>
        <s v="ORD-0648"/>
        <s v="ORD-0254"/>
        <s v="ORD-0267"/>
        <s v="ORD-0362"/>
        <s v="ORD-0158"/>
        <s v="ORD-0225"/>
        <s v="ORD-0595"/>
        <s v="ORD-0108"/>
        <s v="ORD-0381"/>
      </sharedItems>
    </cacheField>
    <cacheField name="Order Date" numFmtId="164">
      <sharedItems containsSemiMixedTypes="0" containsDate="1" containsString="0"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9T00:00:00Z"/>
        <d v="2025-01-20T00:00:00Z"/>
        <d v="2025-01-21T00:00:00Z"/>
        <d v="2025-01-22T00:00:00Z"/>
        <d v="2025-01-23T00:00:00Z"/>
        <d v="2025-01-24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4T00:00:00Z"/>
        <d v="2025-02-15T00:00:00Z"/>
        <d v="2025-02-16T00:00:00Z"/>
        <d v="2025-02-17T00:00:00Z"/>
        <d v="2025-02-19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2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3T00:00:00Z"/>
        <d v="2025-04-15T00:00:00Z"/>
        <d v="2025-04-16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  <d v="2025-07-11T00:00:00Z"/>
        <d v="2025-07-12T00:00:00Z"/>
        <d v="2025-07-13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6T00:00:00Z"/>
        <d v="2025-08-07T00:00:00Z"/>
        <d v="2025-08-08T00:00:00Z"/>
        <d v="2025-08-09T00:00:00Z"/>
        <d v="2025-08-10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4T00:00:00Z"/>
        <d v="2025-08-25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1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5T00:00:00Z"/>
        <d v="2025-10-06T00:00:00Z"/>
        <d v="2025-10-07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7T00:00:00Z"/>
        <d v="2025-11-08T00:00:00Z"/>
        <d v="2025-11-09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3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</sharedItems>
    </cacheField>
    <cacheField name="Product" numFmtId="0">
      <sharedItems>
        <s v="Notebook"/>
        <s v="Smartphone"/>
        <s v="Table Lamp"/>
        <s v="Pens"/>
        <s v="Monitor"/>
        <s v="Printer Paper"/>
        <s v="Tablet"/>
        <s v="USB Cable"/>
        <s v="Calculator"/>
        <s v="Webcam"/>
        <s v="Laptop"/>
        <s v="Mouse"/>
        <s v="Headphones"/>
        <s v="Desk"/>
        <s v="Office Chair"/>
        <s v="Stapler"/>
        <s v="Filing Cabinet"/>
        <s v="Phone Stand"/>
        <s v="Folders"/>
        <s v="Bookshelf"/>
        <s v="Backpack"/>
        <s v="Keyboard"/>
        <s v="Unknown"/>
      </sharedItems>
    </cacheField>
    <cacheField name="Category" numFmtId="0">
      <sharedItems>
        <s v="Office Supplies"/>
        <s v="Electronics"/>
        <s v="Furniture"/>
        <s v="Accessories"/>
      </sharedItems>
    </cacheField>
    <cacheField name="Region" numFmtId="0">
      <sharedItems>
        <s v="East"/>
        <s v="North"/>
        <s v="South"/>
        <s v="West"/>
        <s v="Unknown"/>
      </sharedItems>
    </cacheField>
    <cacheField name="Customer" numFmtId="0">
      <sharedItems>
        <s v="Customer 126"/>
        <s v="Customer 090"/>
        <s v="Customer 183"/>
        <s v="Customer 206"/>
        <s v="Customer 131"/>
        <s v="Customer 005"/>
        <s v="Customer 239"/>
        <s v="Customer 191"/>
        <s v="Customer 124"/>
        <s v="Customer 214"/>
        <s v="Customer 208"/>
        <s v="Customer 181"/>
        <s v="Customer 246"/>
        <s v="Customer 110"/>
        <s v="Customer 227"/>
        <s v="Customer 088"/>
        <s v="Customer 170"/>
        <s v="Customer 207"/>
        <s v="Customer 095"/>
        <s v="Customer 051"/>
        <s v="Customer 219"/>
        <s v="Customer 139"/>
        <s v="Customer 141"/>
        <s v="Customer 158"/>
        <s v="Customer 156"/>
        <s v="Customer 020"/>
        <s v="Customer 167"/>
        <s v="Customer 113"/>
        <s v="Customer 180"/>
        <s v="Customer 133"/>
        <s v="Customer 201"/>
        <s v="Customer 022"/>
        <s v="Customer 074"/>
        <s v="Customer 086"/>
        <s v="Customer 009"/>
        <s v="Customer 026"/>
        <s v="Customer 231"/>
        <s v="Customer 067"/>
        <s v="Customer 250"/>
        <s v="Customer 002"/>
        <s v="Customer 248"/>
        <s v="Customer 192"/>
        <s v="Customer 152"/>
        <s v="Customer 094"/>
        <s v="Customer 233"/>
        <s v="Customer 014"/>
        <s v="Customer 010"/>
        <s v="Customer 096"/>
        <s v="Customer 081"/>
        <s v="Customer 194"/>
        <s v="Customer 065"/>
        <s v="Customer 134"/>
        <s v="Customer 062"/>
        <s v="Customer 075"/>
        <s v="Customer 198"/>
        <s v="Customer 241"/>
        <s v="Customer 058"/>
        <s v="Customer 128"/>
        <s v="Customer 031"/>
        <s v="Customer 093"/>
        <s v="Customer 216"/>
        <s v="Customer 188"/>
        <s v="Customer 046"/>
        <s v="Customer 025"/>
        <s v="Customer 069"/>
        <s v="Customer 243"/>
        <s v="Customer 012"/>
        <s v="Customer 087"/>
        <s v="Customer 225"/>
        <s v="Customer 037"/>
        <s v="Customer 157"/>
        <s v="Customer 163"/>
        <s v="Customer 052"/>
        <s v="Customer 004"/>
        <s v="Customer 111"/>
        <s v="Customer 030"/>
        <s v="Customer 238"/>
        <s v="Customer 059"/>
        <s v="Customer 108"/>
        <s v="Customer 061"/>
        <s v="Customer 013"/>
        <s v="Customer 114"/>
        <s v="Customer 073"/>
        <s v="Customer 047"/>
        <s v="Customer 197"/>
        <s v="Customer 041"/>
        <s v="Customer 215"/>
        <s v="Customer 080"/>
        <s v="Customer 234"/>
        <s v="Customer 034"/>
        <s v="Customer 122"/>
        <s v="Customer 097"/>
        <s v="Customer 120"/>
        <s v="Customer 115"/>
        <s v="Customer 161"/>
        <s v="Unknown"/>
        <s v="Customer 184"/>
        <s v="Customer 200"/>
        <s v="Customer 166"/>
        <s v="Customer 048"/>
        <s v="Customer 147"/>
        <s v="Customer 136"/>
        <s v="Customer 103"/>
        <s v="Customer 137"/>
        <s v="Customer 171"/>
        <s v="Customer 066"/>
        <s v="Customer 249"/>
        <s v="Customer 125"/>
        <s v="Customer 148"/>
        <s v="Customer 116"/>
        <s v="Customer 132"/>
        <s v="Customer 015"/>
        <s v="Customer 245"/>
        <s v="Customer 155"/>
        <s v="Customer 177"/>
        <s v="Customer 024"/>
        <s v="Customer 159"/>
        <s v="Customer 195"/>
        <s v="Customer 160"/>
        <s v="Customer 109"/>
        <s v="Customer 247"/>
        <s v="Customer 063"/>
        <s v="Customer 036"/>
        <s v="Customer 165"/>
        <s v="Customer 196"/>
        <s v="Customer 027"/>
        <s v="Customer 244"/>
        <s v="Customer 186"/>
        <s v="Customer 007"/>
        <s v="Customer 044"/>
        <s v="Customer 099"/>
        <s v="Customer 011"/>
        <s v="Customer 150"/>
        <s v="Customer 038"/>
        <s v="Customer 091"/>
        <s v="Customer 039"/>
        <s v="Customer 077"/>
        <s v="Customer 202"/>
        <s v="Customer 173"/>
        <s v="Customer 106"/>
        <s v="Customer 078"/>
        <s v="Customer 049"/>
        <s v="Customer 174"/>
        <s v="Customer 205"/>
        <s v="Customer 154"/>
        <s v="Customer 117"/>
        <s v="Customer 211"/>
        <s v="Customer 017"/>
        <s v="Customer 172"/>
        <s v="Customer 242"/>
        <s v="Customer 068"/>
        <s v="Customer 102"/>
        <s v="Customer 237"/>
        <s v="Customer 118"/>
        <s v="Customer 209"/>
        <s v="Customer 210"/>
        <s v="Customer 112"/>
        <s v="Customer 089"/>
        <s v="Customer 100"/>
        <s v="Customer 185"/>
        <s v="Customer 064"/>
        <s v="Customer 070"/>
        <s v="Customer 187"/>
        <s v="Customer 098"/>
        <s v="Customer 193"/>
        <s v="Customer 119"/>
        <s v="Customer 145"/>
        <s v="Customer 105"/>
        <s v="Customer 144"/>
        <s v="Customer 169"/>
        <s v="Customer 082"/>
        <s v="Customer 230"/>
        <s v="Customer 212"/>
        <s v="Customer 213"/>
        <s v="Customer 129"/>
        <s v="Customer 084"/>
        <s v="Customer 101"/>
        <s v="Customer 220"/>
        <s v="Customer 149"/>
        <s v="Customer 023"/>
        <s v="Customer 079"/>
        <s v="Customer 123"/>
        <s v="Customer 204"/>
        <s v="Customer 224"/>
        <s v="Customer 127"/>
        <s v="Customer 232"/>
        <s v="Customer 055"/>
        <s v="Customer 018"/>
        <s v="Customer 121"/>
        <s v="Customer 019"/>
        <s v="Customer 175"/>
        <s v="Customer 071"/>
        <s v="Customer 029"/>
        <s v="Customer 223"/>
        <s v="Customer 240"/>
        <s v="Customer 072"/>
        <s v="Customer 228"/>
        <s v="Customer 083"/>
        <s v="Customer 054"/>
        <s v="Customer 236"/>
        <s v="Customer 045"/>
        <s v="Customer 229"/>
        <s v="Customer 056"/>
        <s v="Customer 006"/>
        <s v="Customer 008"/>
        <s v="Customer 053"/>
        <s v="Customer 222"/>
        <s v="Customer 003"/>
        <s v="Customer 028"/>
        <s v="Customer 218"/>
        <s v="Customer 050"/>
        <s v="Customer 178"/>
        <s v="Customer 135"/>
        <s v="Customer 146"/>
        <s v="Customer 203"/>
        <s v="Customer 092"/>
        <s v="Customer 226"/>
        <s v="Customer 179"/>
        <s v="Customer 104"/>
        <s v="Customer 189"/>
        <s v="Customer 060"/>
        <s v="Customer 140"/>
        <s v="Customer 221"/>
        <s v="Customer 021"/>
        <s v="Customer 016"/>
        <s v="Customer 107"/>
        <s v="Customer 057"/>
        <s v="Customer 168"/>
        <s v="Customer 162"/>
        <s v="Customer 164"/>
        <s v="Customer 142"/>
        <s v="Customer 217"/>
        <s v="Customer 151"/>
        <s v="Customer 153"/>
        <s v="Customer 085"/>
        <s v="Customer 190"/>
        <s v="Customer 130"/>
        <s v="Customer 040"/>
        <s v="Customer 176"/>
        <s v="Customer 035"/>
        <s v="Customer 032"/>
        <s v="Customer 001"/>
        <s v="Customer 076"/>
        <s v="Customer 138"/>
        <s v="Customer 033"/>
        <s v="Customer 199"/>
        <s v="Customer 235"/>
        <s v="Customer 043"/>
      </sharedItems>
    </cacheField>
    <cacheField name="Quantity" numFmtId="0">
      <sharedItems containsSemiMixedTypes="0" containsString="0" containsNumber="1" containsInteger="1">
        <n v="4.0"/>
        <n v="2.0"/>
        <n v="3.0"/>
        <n v="5.0"/>
        <n v="1.0"/>
        <n v="6.0"/>
        <n v="7.0"/>
      </sharedItems>
    </cacheField>
    <cacheField name="Unit Price" numFmtId="165">
      <sharedItems containsSemiMixedTypes="0" containsString="0" containsNumber="1">
        <n v="971.69"/>
        <n v="9573.29"/>
        <n v="16197.32"/>
        <n v="651.37"/>
        <n v="32729.48"/>
        <n v="545.64"/>
        <n v="33982.32"/>
        <n v="3931.02"/>
        <n v="34493.97"/>
        <n v="1046.04"/>
        <n v="3207.13"/>
        <n v="721.78"/>
        <n v="4810.33"/>
        <n v="122.22"/>
        <n v="1119.89"/>
        <n v="54371.15"/>
        <n v="24865.2"/>
        <n v="556.79"/>
        <n v="67407.46"/>
        <n v="10572.24"/>
        <n v="4119.16"/>
        <n v="853.44"/>
        <n v="17946.2"/>
        <n v="24771.87"/>
        <n v="1618.25"/>
        <n v="578.77"/>
        <n v="14412.58"/>
        <n v="49928.7"/>
        <n v="151.05"/>
        <n v="2844.12"/>
        <n v="6174.91"/>
        <n v="375.69"/>
        <n v="15266.87"/>
        <n v="4264.21"/>
        <n v="3156.73"/>
        <n v="694.37"/>
        <n v="1718.2"/>
        <n v="1469.46"/>
        <n v="14637.72"/>
        <n v="3587.41"/>
        <n v="832.61"/>
        <n v="10353.13"/>
        <n v="8704.29"/>
        <n v="316.49"/>
        <n v="1453.56"/>
        <n v="16145.89"/>
        <n v="68383.16"/>
        <n v="698.98"/>
        <n v="4107.28"/>
        <n v="648.9"/>
        <n v="83.2"/>
        <n v="4375.55"/>
        <n v="2921.34"/>
        <n v="1420.01"/>
        <n v="17975.1"/>
        <n v="1441.19"/>
        <n v="5863.93"/>
        <n v="70682.78"/>
        <n v="13931.06"/>
        <n v="297.17"/>
        <n v="70493.11"/>
        <n v="11275.79"/>
        <n v="71581.5"/>
        <n v="606.5"/>
        <n v="17472.81"/>
        <n v="14603.73"/>
        <n v="1001.79"/>
        <n v="1284.6"/>
        <n v="1757.86"/>
        <n v="1169.19"/>
        <n v="152.99"/>
        <n v="67479.01"/>
        <n v="50281.51"/>
        <n v="3571.02"/>
        <n v="23413.26"/>
        <n v="588.34"/>
        <n v="288.98"/>
        <n v="109.09"/>
        <n v="4346.89"/>
        <n v="3959.83"/>
        <n v="3250.95"/>
        <n v="4801.8"/>
        <n v="1098.2"/>
        <n v="919.83"/>
        <n v="65986.98"/>
        <n v="3445.32"/>
        <n v="1495.83"/>
        <n v="5632.98"/>
        <n v="973.28"/>
        <n v="3296.5"/>
        <n v="235.82"/>
        <n v="3840.09"/>
        <n v="79.02"/>
        <n v="4719.4"/>
        <n v="13631.25"/>
        <n v="919.59"/>
        <n v="14679.74"/>
        <n v="4862.08"/>
        <n v="15267.16"/>
        <n v="36071.64"/>
        <n v="7693.38"/>
        <n v="1307.05"/>
        <n v="1267.88"/>
        <n v="465.08"/>
        <n v="1644.57"/>
        <n v="1839.88"/>
        <n v="41381.19"/>
        <n v="7349.34"/>
        <n v="16260.54"/>
        <n v="16857.36"/>
        <n v="1043.89"/>
        <n v="10224.43"/>
        <n v="44428.98"/>
        <n v="597.02"/>
        <n v="968.23"/>
        <n v="3652.38"/>
        <n v="42323.57"/>
        <n v="1827.34"/>
        <n v="67170.41"/>
        <n v="8098.68"/>
        <n v="375.98"/>
        <n v="38369.71"/>
        <n v="102.43"/>
        <n v="1436.08"/>
        <n v="2141.62"/>
        <n v="568.74"/>
        <n v="665.63"/>
        <n v="416.64"/>
        <n v="3722.77"/>
        <n v="666.03"/>
        <n v="58703.12"/>
        <n v="54683.26"/>
        <n v="1243.68"/>
        <n v="65891.17"/>
        <n v="470.56"/>
        <n v="4477.47"/>
        <n v="1295.11"/>
        <n v="1134.19"/>
        <n v="3003.41"/>
        <n v="1828.75"/>
        <n v="849.02"/>
        <n v="585.13"/>
        <n v="12091.36"/>
        <n v="1044.27"/>
        <n v="203.46"/>
        <n v="4313.35"/>
        <n v="1031.8"/>
        <n v="926.15"/>
        <n v="7362.07"/>
        <n v="54127.49"/>
        <n v="5945.5"/>
        <n v="44999.44"/>
        <n v="17942.44"/>
        <n v="1205.36"/>
        <n v="85.08"/>
        <n v="2413.6"/>
        <n v="54402.92"/>
        <n v="26481.16"/>
        <n v="1214.39"/>
        <n v="3482.45"/>
        <n v="18760.5"/>
        <n v="214.52"/>
        <n v="42596.04"/>
        <n v="10136.4"/>
        <n v="1435.65"/>
        <n v="16119.8"/>
        <n v="17023.83"/>
        <n v="1171.91"/>
        <n v="36905.55"/>
        <n v="32026.58"/>
        <n v="53181.95"/>
        <n v="4816.95"/>
        <n v="152.28"/>
        <n v="22041.97"/>
        <n v="41343.4"/>
        <n v="2259.92"/>
        <n v="3268.62"/>
        <n v="13654.72"/>
        <n v="4638.24"/>
        <n v="73052.66"/>
        <n v="9959.87"/>
        <n v="281.64"/>
        <n v="19376.62"/>
        <n v="2107.0"/>
        <n v="52245.47"/>
        <n v="983.15"/>
        <n v="3035.92"/>
        <n v="250.46"/>
        <n v="3651.4"/>
        <n v="406.7"/>
        <n v="9299.65"/>
        <n v="18697.15"/>
        <n v="70970.8"/>
        <n v="839.09"/>
        <n v="247.74"/>
        <n v="15003.76"/>
        <n v="3185.8"/>
        <n v="76.86"/>
        <n v="431.18"/>
        <n v="1739.67"/>
        <n v="286.14"/>
        <n v="110.07"/>
        <n v="35695.07"/>
        <n v="11307.53"/>
        <n v="63957.13"/>
        <n v="37017.35"/>
        <n v="2797.58"/>
        <n v="5024.26"/>
        <n v="730.09"/>
        <n v="315.19"/>
        <n v="128.05"/>
        <n v="11147.09"/>
        <n v="9640.47"/>
        <n v="41894.64"/>
        <n v="16693.75"/>
        <n v="2750.53"/>
        <n v="1342.65"/>
        <n v="600.64"/>
        <n v="1849.09"/>
        <n v="447.61"/>
        <n v="7841.33"/>
        <n v="3309.0"/>
        <n v="9293.32"/>
        <n v="176.25"/>
        <n v="23052.4"/>
        <n v="60279.14"/>
        <n v="3392.49"/>
        <n v="966.53"/>
        <n v="24067.27"/>
        <n v="4513.06"/>
        <n v="51205.3"/>
        <n v="799.66"/>
        <n v="128.87"/>
        <n v="71294.6"/>
        <n v="3122.32"/>
        <n v="3680.53"/>
        <n v="52607.59"/>
        <n v="52499.21"/>
        <n v="2037.1"/>
        <n v="11319.66"/>
        <n v="852.91"/>
        <n v="30392.56"/>
        <n v="66866.52"/>
        <n v="682.27"/>
        <n v="60646.84"/>
        <n v="2554.95"/>
        <n v="216.77"/>
        <n v="1073.69"/>
        <n v="1297.2"/>
        <n v="1616.2"/>
        <n v="1243.36"/>
        <n v="6122.05"/>
        <n v="15105.97"/>
        <n v="22229.7"/>
        <n v="3138.84"/>
        <n v="5893.93"/>
        <n v="10047.18"/>
        <n v="8351.77"/>
        <n v="51055.71"/>
        <n v="16582.72"/>
        <n v="807.41"/>
        <n v="61328.55"/>
        <n v="1366.87"/>
        <n v="11981.73"/>
        <n v="834.62"/>
        <n v="624.16"/>
        <n v="1324.13"/>
        <n v="525.7"/>
        <n v="7899.46"/>
        <n v="1844.7"/>
        <n v="11211.89"/>
        <n v="3837.3"/>
        <n v="4091.28"/>
        <n v="1330.52"/>
        <n v="2312.28"/>
        <n v="218.78"/>
        <n v="499.28"/>
        <n v="6852.26"/>
        <n v="564.51"/>
        <n v="2266.37"/>
        <n v="53762.66"/>
        <n v="134.53"/>
        <n v="32523.61"/>
        <n v="9145.47"/>
        <n v="43056.7"/>
        <n v="44107.28"/>
        <n v="1486.43"/>
        <n v="664.99"/>
        <n v="693.86"/>
        <n v="15350.45"/>
        <n v="9092.14"/>
        <n v="4439.71"/>
        <n v="243.46"/>
        <n v="61707.92"/>
        <n v="3432.41"/>
        <n v="62325.29"/>
        <n v="643.34"/>
        <n v="54614.12"/>
        <n v="70775.19"/>
        <n v="1181.81"/>
        <n v="3666.79"/>
        <n v="792.97"/>
        <n v="1217.71"/>
        <n v="7655.07"/>
        <n v="74145.99"/>
        <n v="44473.09"/>
        <n v="961.33"/>
        <n v="412.52"/>
        <n v="4914.54"/>
        <n v="1372.7"/>
        <n v="8460.96"/>
        <n v="1453.25"/>
        <n v="364.97"/>
        <n v="6030.5"/>
        <n v="53436.22"/>
        <n v="7025.23"/>
        <n v="475.36"/>
        <n v="506.17"/>
        <n v="42692.88"/>
        <n v="978.65"/>
        <n v="61921.84"/>
        <n v="31813.26"/>
        <n v="3991.88"/>
        <n v="410.48"/>
        <n v="1347.8"/>
        <n v="1709.28"/>
        <n v="992.55"/>
        <n v="4127.66"/>
        <n v="1030.28"/>
        <n v="365.62"/>
        <n v="14110.28"/>
        <n v="775.69"/>
        <n v="826.27"/>
        <n v="194.51"/>
        <n v="1404.35"/>
        <n v="1297.97"/>
        <n v="40972.44"/>
        <n v="2164.59"/>
        <n v="4722.35"/>
        <n v="69126.47"/>
        <n v="63.53"/>
        <n v="10465.13"/>
        <n v="1279.08"/>
        <n v="862.13"/>
        <n v="26015.17"/>
        <n v="46442.58"/>
        <n v="12094.84"/>
        <n v="565.21"/>
        <n v="494.83"/>
        <n v="3834.47"/>
        <n v="20595.15"/>
        <n v="1862.19"/>
        <n v="1739.36"/>
        <n v="3707.63"/>
        <n v="3171.78"/>
        <n v="16585.54"/>
        <n v="65840.79"/>
        <n v="10070.27"/>
        <n v="16522.56"/>
        <n v="18148.91"/>
        <n v="49701.17"/>
        <n v="4667.08"/>
        <n v="400.8"/>
        <n v="897.08"/>
        <n v="39914.41"/>
        <n v="42105.81"/>
        <n v="70422.22"/>
        <n v="552.43"/>
        <n v="15270.59"/>
        <n v="6767.28"/>
        <n v="9796.56"/>
        <n v="15449.07"/>
        <n v="3622.54"/>
        <n v="15650.94"/>
        <n v="2259.13"/>
        <n v="21976.98"/>
        <n v="1071.31"/>
        <n v="4731.67"/>
        <n v="7184.1"/>
        <n v="134.44"/>
        <n v="26919.63"/>
        <n v="109.72"/>
        <n v="11441.72"/>
        <n v="354.13"/>
        <n v="96.87"/>
        <n v="4649.77"/>
        <n v="14767.45"/>
        <n v="9459.86"/>
        <n v="15722.0"/>
        <n v="26245.17"/>
        <n v="959.63"/>
        <n v="15218.3"/>
        <n v="427.07"/>
        <n v="10160.56"/>
        <n v="887.75"/>
        <n v="9502.48"/>
        <n v="4260.42"/>
        <n v="1373.49"/>
        <n v="38261.71"/>
        <n v="49619.85"/>
        <n v="230.43"/>
        <n v="4705.83"/>
        <n v="455.53"/>
        <n v="26568.8"/>
        <n v="15569.4"/>
        <n v="4739.43"/>
        <n v="62592.21"/>
        <n v="2719.68"/>
        <n v="283.98"/>
        <n v="82.63"/>
        <n v="1136.59"/>
        <n v="1122.4"/>
        <n v="232.86"/>
        <n v="3054.72"/>
        <n v="58821.43"/>
        <n v="13788.13"/>
        <n v="7774.92"/>
        <n v="1339.24"/>
        <n v="25698.34"/>
        <n v="38132.43"/>
        <n v="811.61"/>
        <n v="36468.98"/>
        <n v="2528.62"/>
        <n v="10592.3"/>
        <n v="213.64"/>
        <n v="33321.76"/>
        <n v="1426.21"/>
        <n v="197.83"/>
        <n v="1444.16"/>
        <n v="11906.49"/>
        <n v="1146.55"/>
        <n v="1113.98"/>
        <n v="529.65"/>
        <n v="563.69"/>
        <n v="22786.06"/>
        <n v="4725.7"/>
        <n v="1548.62"/>
        <n v="51671.75"/>
        <n v="1086.16"/>
        <n v="22618.12"/>
        <n v="203.52"/>
        <n v="1364.96"/>
        <n v="7747.42"/>
        <n v="62754.74"/>
        <n v="74.17"/>
        <n v="11049.3"/>
        <n v="268.22"/>
        <n v="448.36"/>
        <n v="520.96"/>
        <n v="16217.53"/>
        <n v="21522.29"/>
        <n v="26215.3"/>
        <n v="43833.18"/>
        <n v="3668.71"/>
        <n v="7063.5"/>
        <n v="73397.08"/>
        <n v="12179.2"/>
        <n v="1396.34"/>
        <n v="645.56"/>
        <n v="40352.7"/>
        <n v="1183.74"/>
        <n v="7625.2"/>
        <n v="534.58"/>
        <n v="19939.27"/>
        <n v="1119.39"/>
        <n v="17032.31"/>
        <n v="1109.69"/>
        <n v="1892.97"/>
        <n v="1564.58"/>
        <n v="31573.4"/>
        <n v="53548.36"/>
        <n v="73662.11"/>
        <n v="12187.77"/>
        <n v="1309.2"/>
        <n v="465.48"/>
        <n v="705.91"/>
        <n v="1265.83"/>
        <n v="1921.38"/>
        <n v="9395.61"/>
        <n v="187.68"/>
        <n v="2991.63"/>
        <n v="28714.14"/>
        <n v="127.48"/>
        <n v="883.56"/>
        <n v="481.07"/>
        <n v="53953.5"/>
        <n v="20484.15"/>
        <n v="17921.07"/>
        <n v="12144.22"/>
        <n v="2682.56"/>
        <n v="26589.81"/>
        <n v="4673.18"/>
        <n v="51510.84"/>
        <n v="224.82"/>
        <n v="4257.58"/>
        <n v="993.24"/>
        <n v="1163.03"/>
        <n v="62868.19"/>
        <n v="2940.21"/>
        <n v="68225.64"/>
        <n v="4572.59"/>
        <n v="3699.64"/>
        <n v="4581.59"/>
        <n v="497.28"/>
        <n v="958.84"/>
        <n v="4526.77"/>
        <n v="240.55"/>
        <n v="38319.7"/>
        <n v="1321.0"/>
        <n v="43622.5"/>
        <n v="3750.42"/>
        <n v="478.94"/>
        <n v="914.18"/>
        <n v="67742.82"/>
        <n v="116.88"/>
        <n v="52590.89"/>
        <n v="72353.86"/>
        <n v="2575.16"/>
        <n v="2444.02"/>
        <n v="1657.86"/>
        <n v="2529.66"/>
        <n v="29462.55"/>
        <n v="910.74"/>
        <n v="4187.68"/>
        <n v="4176.95"/>
        <n v="3317.87"/>
        <n v="37769.11"/>
        <n v="2784.24"/>
        <n v="802.6"/>
        <n v="70933.08"/>
        <n v="14750.71"/>
        <n v="59847.82"/>
        <n v="52342.36"/>
        <n v="605.55"/>
        <n v="43203.3"/>
        <n v="1335.23"/>
        <n v="3401.82"/>
        <n v="860.82"/>
        <n v="54978.87"/>
        <n v="46133.19"/>
        <n v="46755.87"/>
        <n v="13089.01"/>
        <n v="3765.83"/>
        <n v="16799.5"/>
        <n v="26088.52"/>
        <n v="125.79"/>
        <n v="73437.89"/>
        <n v="749.54"/>
        <n v="2450.19"/>
        <n v="10545.07"/>
        <n v="2353.44"/>
        <n v="62.06"/>
        <n v="861.55"/>
        <n v="1419.19"/>
        <n v="122.59"/>
        <n v="11187.06"/>
        <n v="22015.3"/>
        <n v="813.56"/>
        <n v="609.85"/>
        <n v="1052.26"/>
        <n v="1419.3"/>
        <n v="9491.32"/>
        <n v="8944.63"/>
        <n v="41854.17"/>
        <n v="12944.73"/>
        <n v="484.96"/>
        <n v="10046.44"/>
        <n v="2253.63"/>
        <n v="43599.15"/>
        <n v="29363.94"/>
        <n v="1643.98"/>
        <n v="36181.36"/>
        <n v="10712.49"/>
        <n v="825.11"/>
        <n v="571.83"/>
        <n v="585.98"/>
        <n v="73818.99"/>
        <n v="26193.13"/>
        <n v="9217.31"/>
        <n v="15283.03"/>
        <n v="60261.82"/>
        <n v="881.56"/>
        <n v="2060.71"/>
        <n v="54630.47"/>
        <n v="598.43"/>
        <n v="3108.45"/>
        <n v="5351.3"/>
        <n v="2768.12"/>
        <n v="66083.96"/>
        <n v="493.26"/>
        <n v="1380.07"/>
        <n v="19169.29"/>
        <n v="19640.34"/>
        <n v="47152.79"/>
        <n v="15473.31"/>
        <n v="2199.85"/>
        <n v="6501.35"/>
        <n v="10072.45"/>
        <n v="52158.37"/>
        <n v="9238.08"/>
        <n v="718.52"/>
        <n v="1309.47"/>
        <n v="11873.44"/>
        <n v="515.36"/>
        <n v="6556.17"/>
        <n v="53376.04"/>
        <n v="1792.15"/>
        <n v="40545.98"/>
        <n v="111.4"/>
        <n v="69315.14"/>
        <n v="40181.69"/>
        <n v="66806.59"/>
        <n v="64882.17"/>
        <n v="2538.4"/>
        <n v="58112.9"/>
        <n v="733.48"/>
        <n v="294.84"/>
        <n v="835.19"/>
        <n v="11136.15"/>
        <n v="3746.56"/>
        <n v="1122.39"/>
        <n v="800.6"/>
        <n v="2262.01"/>
        <n v="50147.15"/>
        <n v="39511.02"/>
        <n v="18922.14"/>
        <n v="1308.17"/>
        <n v="11710.94"/>
        <n v="4410.13"/>
        <n v="814.48"/>
        <n v="886.41"/>
        <n v="653.61"/>
        <n v="10274.3"/>
        <n v="15725.94"/>
        <n v="60936.85"/>
        <n v="14253.89"/>
        <n v="47190.7"/>
        <n v="5767.27"/>
        <n v="41445.62"/>
        <n v="31065.88"/>
        <n v="10281.68"/>
        <n v="62286.05"/>
        <n v="10584.06"/>
        <n v="18657.75"/>
        <n v="793.03"/>
        <n v="11274.52"/>
        <n v="21863.76"/>
        <n v="3201.46"/>
        <n v="3053.1"/>
        <n v="422.04"/>
        <n v="50635.86"/>
        <n v="50640.19"/>
        <n v="1499.34"/>
        <n v="1087.3"/>
        <n v="72137.11"/>
        <n v="26994.4"/>
        <n v="29061.68"/>
        <n v="8300.52"/>
        <n v="612.79"/>
        <n v="15331.39"/>
        <n v="1769.29"/>
        <n v="26623.84"/>
        <n v="4177.94"/>
        <n v="4525.43"/>
        <n v="35449.03"/>
        <n v="12471.9"/>
        <n v="23782.21"/>
        <n v="13171.45"/>
        <n v="2549.12"/>
        <n v="938.23"/>
        <n v="61620.03"/>
        <n v="1102.84"/>
        <n v="765.25"/>
        <n v="319.64"/>
        <n v="331.29"/>
        <n v="56250.83"/>
        <n v="57816.84"/>
        <n v="10682.34"/>
        <n v="661.48"/>
        <n v="5989.58"/>
        <n v="8438.85"/>
        <n v="66609.83"/>
        <n v="12354.07"/>
        <n v="3771.44"/>
        <n v="14712.63"/>
        <n v="6191.79"/>
        <n v="921.6"/>
        <n v="50453.43"/>
        <n v="808.93"/>
        <n v="4975.6"/>
        <n v="119.71"/>
        <n v="3589.73"/>
        <n v="9545.07"/>
        <n v="12801.94"/>
        <n v="8553.49"/>
        <n v="67196.19"/>
        <n v="4188.64"/>
        <n v="5511.88"/>
        <n v="46057.66"/>
        <n v="33453.27"/>
        <n v="3722.46"/>
        <n v="4839.79"/>
        <n v="23906.87"/>
        <n v="96.08"/>
        <n v="987.58"/>
        <n v="69609.75"/>
        <n v="554.55"/>
        <n v="36474.33"/>
        <n v="515.01"/>
        <n v="3529.5"/>
        <n v="5052.43"/>
        <n v="3742.05"/>
        <n v="8074.9"/>
        <n v="68.85"/>
        <n v="964.08"/>
        <n v="1100.41"/>
        <n v="564.42"/>
        <n v="857.26"/>
        <n v="48701.46"/>
        <n v="14633.72"/>
        <n v="673.03"/>
        <n v="2548.29"/>
        <n v="17108.24"/>
        <n v="2542.96"/>
        <n v="60855.22"/>
        <n v="811.88"/>
        <n v="1202.0"/>
        <n v="809.32"/>
        <n v="2460.84"/>
        <n v="305.92"/>
        <n v="1093.5"/>
        <n v="17530.42"/>
        <n v="14210.67"/>
        <n v="1469.34"/>
        <n v="16234.28"/>
        <n v="18647.44"/>
        <n v="6466.09"/>
        <n v="1301.5"/>
        <n v="3720.65"/>
        <n v="683.43"/>
        <n v="23265.36"/>
        <n v="17048.8"/>
        <n v="10332.61"/>
        <n v="15341.73"/>
        <n v="12837.08"/>
        <n v="61428.98"/>
        <n v="1258.26"/>
        <n v="1083.9"/>
        <n v="618.62"/>
        <n v="49460.08"/>
        <n v="536.02"/>
        <n v="6520.78"/>
        <n v="29087.26"/>
        <n v="61330.09"/>
        <n v="9275.45"/>
        <n v="989.36"/>
        <n v="1351.47"/>
        <n v="958.86"/>
        <n v="17725.26"/>
        <n v="4169.08"/>
        <n v="1358.89"/>
        <n v="32614.31"/>
        <n v="865.85"/>
        <n v="2991.79"/>
        <n v="4317.38"/>
        <n v="232.3"/>
        <n v="1148.06"/>
        <n v="393.37"/>
        <n v="51502.82"/>
        <n v="2765.29"/>
        <n v="67985.78"/>
        <n v="644.36"/>
        <n v="52638.76"/>
        <n v="35982.99"/>
        <n v="4771.84"/>
        <n v="71665.49"/>
        <n v="1435.68"/>
        <n v="9613.79"/>
        <n v="12637.86"/>
        <n v="77.69"/>
        <n v="669.88"/>
        <n v="12044.0"/>
        <n v="58762.85"/>
        <n v="2089.58"/>
        <n v="3480.46"/>
        <n v="184.13"/>
        <n v="35687.55"/>
        <n v="572.54"/>
        <n v="14890.38"/>
        <n v="7018.72"/>
        <n v="1819.92"/>
        <n v="237.3"/>
        <n v="3190.24"/>
        <n v="1070.92"/>
        <n v="59193.07"/>
        <n v="16810.91"/>
        <n v="4707.52"/>
        <n v="3840.59"/>
        <n v="8950.37"/>
        <n v="645.08"/>
        <n v="20948.79"/>
        <n v="292.83"/>
        <n v="17312.61"/>
        <n v="129.22"/>
        <n v="38671.14"/>
        <n v="7814.71"/>
        <n v="1539.61"/>
        <n v="1334.15"/>
        <n v="24045.08"/>
        <n v="210.93"/>
        <n v="4761.25"/>
        <n v="54881.52"/>
        <n v="4678.33"/>
        <n v="3110.58"/>
        <n v="62029.32"/>
        <n v="1531.42"/>
        <n v="17311.77"/>
        <n v="4244.26"/>
        <n v="34743.65"/>
        <n v="1025.51"/>
        <n v="1255.78"/>
        <n v="29430.77"/>
        <n v="1207.1"/>
        <n v="1198.93"/>
        <n v="43117.19"/>
        <n v="2247.42"/>
        <n v="62692.11"/>
        <n v="3250.94"/>
        <n v="1135.61"/>
        <n v="72981.29"/>
        <n v="131.46"/>
        <n v="47364.66"/>
        <n v="1158.34"/>
        <n v="913.44"/>
        <n v="3469.28"/>
        <n v="177.79"/>
        <n v="54846.26"/>
        <n v="1408.92"/>
        <n v="6282.43"/>
        <n v="4510.99"/>
        <n v="17347.64"/>
        <n v="17398.86"/>
        <n v="29816.7"/>
        <n v="1142.21"/>
        <n v="22402.9"/>
        <n v="51265.79"/>
        <n v="3233.02"/>
        <n v="3593.75"/>
        <n v="3592.82"/>
        <n v="69029.2"/>
        <n v="46586.34"/>
        <n v="13139.0"/>
        <n v="1159.07"/>
        <n v="38605.56"/>
        <n v="2583.9"/>
        <n v="35995.74"/>
        <n v="74619.08"/>
        <n v="1361.82"/>
        <n v="72114.98"/>
        <n v="862.3"/>
        <n v="2233.43"/>
        <n v="1311.46"/>
        <n v="57046.6"/>
        <n v="5577.38"/>
        <n v="1866.98"/>
        <n v="1239.93"/>
        <n v="62552.06"/>
        <n v="10620.37"/>
        <n v="1268.16"/>
        <n v="59726.87"/>
        <n v="20486.23"/>
        <n v="10458.67"/>
        <n v="61123.54"/>
        <n v="70817.62"/>
        <n v="11025.51"/>
        <n v="504.98"/>
        <n v="681.73"/>
        <n v="41316.9"/>
        <n v="12303.58"/>
        <n v="4744.2"/>
        <n v="16180.36"/>
        <n v="625.89"/>
        <n v="7255.15"/>
        <n v="1217.88"/>
        <n v="53242.87"/>
        <n v="6351.73"/>
        <n v="703.34"/>
        <n v="2491.94"/>
        <n v="1486.04"/>
        <n v="275.69"/>
        <n v="55962.04"/>
        <n v="12321.52"/>
        <n v="1102.16"/>
        <n v="63543.84"/>
        <n v="27417.54"/>
        <n v="3159.04"/>
        <n v="7730.87"/>
        <n v="962.06"/>
        <n v="16306.71"/>
        <n v="304.62"/>
        <n v="996.27"/>
        <n v="924.67"/>
        <n v="17963.93"/>
        <n v="35787.71"/>
        <n v="6691.97"/>
        <n v="17044.18"/>
        <n v="345.13"/>
        <n v="64526.05"/>
        <n v="74193.1"/>
        <n v="47826.4"/>
        <n v="890.95"/>
        <n v="4587.33"/>
        <n v="51031.68"/>
        <n v="8989.85"/>
        <n v="22221.08"/>
        <n v="8808.39"/>
        <n v="38888.8"/>
        <n v="23303.81"/>
        <n v="720.47"/>
        <n v="57945.74"/>
        <n v="26960.61"/>
        <n v="5051.18"/>
        <n v="57694.21"/>
        <n v="288.19"/>
        <n v="653.94"/>
        <n v="10258.49"/>
        <n v="895.24"/>
        <n v="3993.96"/>
        <n v="4675.65"/>
        <n v="427.92"/>
        <n v="129.8"/>
        <n v="536.23"/>
        <n v="6384.86"/>
        <n v="9518.26"/>
        <n v="440.08"/>
        <n v="4237.26"/>
        <n v="13508.49"/>
        <n v="881.07"/>
        <n v="9355.03"/>
        <n v="947.24"/>
        <n v="64093.61"/>
        <n v="60383.05"/>
        <n v="1163.42"/>
        <n v="533.68"/>
        <n v="11640.37"/>
        <n v="334.91"/>
        <n v="1021.04"/>
        <n v="2801.02"/>
        <n v="6027.19"/>
        <n v="12715.58"/>
        <n v="1200.77"/>
        <n v="23055.7"/>
        <n v="2085.13"/>
        <n v="678.52"/>
        <n v="1299.1"/>
        <n v="17070.38"/>
        <n v="18799.31"/>
        <n v="764.88"/>
        <n v="29696.05"/>
        <n v="893.75"/>
        <n v="13108.63"/>
        <n v="1609.24"/>
        <n v="487.62"/>
        <n v="3503.99"/>
        <n v="2101.06"/>
        <n v="3599.27"/>
        <n v="532.38"/>
        <n v="392.27"/>
        <n v="43231.15"/>
        <n v="61987.28"/>
        <n v="63271.47"/>
        <n v="36806.79"/>
        <n v="846.64"/>
        <n v="61452.0"/>
        <n v="546.59"/>
        <n v="948.8"/>
        <n v="36116.81"/>
        <n v="967.97"/>
        <n v="6910.31"/>
        <n v="4631.76"/>
        <n v="31660.33"/>
        <n v="17445.95"/>
        <n v="41759.75"/>
        <n v="3312.93"/>
        <n v="1422.39"/>
        <n v="939.02"/>
        <n v="144.32"/>
        <n v="884.74"/>
        <n v="14615.68"/>
        <n v="2910.04"/>
        <n v="12722.43"/>
        <n v="58947.05"/>
        <n v="12830.24"/>
        <n v="32415.39"/>
        <n v="13782.84"/>
        <n v="14438.92"/>
        <n v="41079.42"/>
        <n v="72476.79"/>
        <n v="1410.9"/>
        <n v="22180.89"/>
        <n v="17674.38"/>
        <n v="4773.51"/>
        <n v="15971.43"/>
        <n v="15539.34"/>
        <n v="389.57"/>
        <n v="10039.28"/>
        <n v="1284.79"/>
        <n v="958.66"/>
        <n v="215.69"/>
        <n v="31860.66"/>
        <n v="45253.17"/>
        <n v="1854.89"/>
        <n v="24014.45"/>
        <n v="36965.55"/>
        <n v="338.02"/>
        <n v="17468.2"/>
        <n v="2881.79"/>
        <n v="1221.36"/>
        <n v="17859.94"/>
        <n v="12903.11"/>
        <n v="10990.1"/>
        <n v="1863.26"/>
        <n v="13674.77"/>
        <n v="51886.69"/>
        <n v="4039.64"/>
        <n v="219.21"/>
        <n v="14720.74"/>
        <n v="44025.49"/>
        <n v="1216.43"/>
        <n v="2273.65"/>
        <n v="555.62"/>
        <n v="1996.67"/>
        <n v="3873.74"/>
        <n v="24885.97"/>
        <n v="9574.54"/>
        <n v="8689.74"/>
        <n v="1123.82"/>
        <n v="56793.94"/>
        <n v="782.76"/>
        <n v="1030.24"/>
        <n v="1468.61"/>
        <n v="645.37"/>
        <n v="3152.03"/>
        <n v="17721.58"/>
        <n v="55429.54"/>
        <n v="68117.87"/>
        <n v="831.52"/>
        <n v="41894.95"/>
        <n v="38413.5"/>
        <n v="1921.57"/>
        <n v="10331.07"/>
        <n v="2687.93"/>
        <n v="17035.55"/>
        <n v="615.35"/>
        <n v="17095.73"/>
        <n v="17179.32"/>
        <n v="1278.66"/>
        <n v="7573.6"/>
        <n v="15544.7"/>
        <n v="7588.32"/>
        <n v="65.12"/>
        <n v="4743.51"/>
        <n v="8643.05"/>
        <n v="6941.95"/>
        <n v="36196.98"/>
        <n v="10523.65"/>
        <n v="14838.33"/>
        <n v="33982.43"/>
        <n v="3606.74"/>
        <n v="5997.94"/>
        <n v="3502.54"/>
        <n v="927.18"/>
        <n v="1291.42"/>
        <n v="12084.83"/>
        <n v="3275.05"/>
        <n v="791.73"/>
        <n v="4556.19"/>
        <n v="28196.9"/>
        <n v="4365.35"/>
        <n v="62.32"/>
        <n v="1487.19"/>
        <n v="9505.76"/>
        <n v="3842.11"/>
        <n v="54142.9"/>
        <n v="4704.03"/>
        <n v="220.1"/>
        <n v="2652.14"/>
        <n v="18893.13"/>
        <n v="3387.68"/>
        <n v="702.12"/>
        <n v="3220.9"/>
        <n v="3055.49"/>
        <n v="16522.86"/>
        <n v="7146.07"/>
        <n v="74256.56"/>
        <n v="2144.71"/>
        <n v="72782.67"/>
        <n v="70455.24"/>
        <n v="2650.74"/>
        <n v="945.46"/>
        <n v="49175.53"/>
        <n v="1114.77"/>
        <n v="9294.12"/>
        <n v="8995.68"/>
        <n v="860.0"/>
        <n v="2947.25"/>
        <n v="4928.84"/>
        <n v="11884.33"/>
        <n v="1755.09"/>
        <n v="6706.7"/>
        <n v="867.21"/>
        <n v="1906.15"/>
        <n v="258.09"/>
        <n v="10429.15"/>
        <n v="462.13"/>
        <n v="203.26"/>
        <n v="1219.29"/>
        <n v="71287.12"/>
        <n v="5093.12"/>
        <n v="28138.91"/>
        <n v="3469.37"/>
        <n v="6746.46"/>
        <n v="1414.85"/>
        <n v="59881.12"/>
        <n v="412.5"/>
        <n v="6731.92"/>
        <n v="1087.57"/>
        <n v="52103.07"/>
        <n v="1124.9"/>
        <n v="13883.84"/>
        <n v="53999.57"/>
        <n v="7439.2"/>
        <n v="4595.35"/>
        <n v="120.4"/>
        <n v="987.29"/>
        <n v="546.62"/>
        <n v="879.43"/>
        <n v="6997.55"/>
        <n v="10109.09"/>
        <n v="17270.33"/>
        <n v="349.35"/>
        <n v="4259.14"/>
        <n v="9715.88"/>
        <n v="306.87"/>
        <n v="4099.17"/>
        <n v="4575.27"/>
        <n v="2312.87"/>
        <n v="873.99"/>
        <n v="15967.83"/>
        <n v="43495.38"/>
        <n v="15654.7"/>
        <n v="3830.97"/>
        <n v="824.77"/>
        <n v="527.65"/>
        <n v="12760.93"/>
        <n v="23904.06"/>
        <n v="1981.11"/>
        <n v="6023.63"/>
        <n v="1130.0"/>
        <n v="4557.25"/>
        <n v="1643.15"/>
        <n v="4369.01"/>
        <n v="7245.23"/>
        <n v="2275.26"/>
        <n v="1136.94"/>
        <n v="76.15"/>
        <n v="14003.48"/>
        <n v="26913.19"/>
        <n v="69416.26"/>
        <n v="541.9"/>
        <n v="39569.26"/>
        <n v="10138.62"/>
        <n v="58101.63"/>
        <n v="4746.96"/>
        <n v="4593.97"/>
        <n v="734.71"/>
        <n v="4241.76"/>
        <n v="50820.47"/>
        <n v="531.85"/>
        <n v="964.58"/>
        <n v="287.3"/>
        <n v="48840.56"/>
        <n v="256.47"/>
        <n v="4596.48"/>
        <n v="1001.87"/>
        <n v="16938.9"/>
        <n v="16902.66"/>
        <n v="59707.06"/>
        <n v="393.24"/>
        <n v="19670.69"/>
        <n v="3264.08"/>
        <n v="2360.59"/>
        <n v="2590.27"/>
        <n v="108.51"/>
        <n v="839.51"/>
        <n v="13328.98"/>
        <n v="71126.47"/>
        <n v="902.98"/>
        <n v="789.72"/>
      </sharedItems>
    </cacheField>
    <cacheField name="Sales" numFmtId="165">
      <sharedItems containsSemiMixedTypes="0" containsString="0" containsNumber="1">
        <n v="3886.76"/>
        <n v="19146.58"/>
        <n v="48591.96"/>
        <n v="3256.85"/>
        <n v="32729.48"/>
        <n v="2728.2"/>
        <n v="169911.6"/>
        <n v="23586.12"/>
        <n v="241457.79"/>
        <n v="3138.12"/>
        <n v="6414.26"/>
        <n v="721.78"/>
        <n v="28861.98"/>
        <n v="244.44"/>
        <n v="1119.89"/>
        <n v="271855.75"/>
        <n v="49730.4"/>
        <n v="1670.37"/>
        <n v="269629.84"/>
        <n v="63433.44"/>
        <n v="8238.32"/>
        <n v="4267.2"/>
        <n v="125623.4"/>
        <n v="49543.74"/>
        <n v="4854.75"/>
        <n v="1736.31"/>
        <n v="86475.48"/>
        <n v="49928.7"/>
        <n v="755.25"/>
        <n v="2844.12"/>
        <n v="30874.55"/>
        <n v="751.38"/>
        <n v="30533.74"/>
        <n v="25585.26"/>
        <n v="18940.38"/>
        <n v="4166.22"/>
        <n v="10309.2"/>
        <n v="2938.92"/>
        <n v="43913.16"/>
        <n v="3587.41"/>
        <n v="1665.22"/>
        <n v="20706.26"/>
        <n v="26112.87"/>
        <n v="632.98"/>
        <n v="7267.8"/>
        <n v="64583.56"/>
        <n v="136766.32"/>
        <n v="698.98"/>
        <n v="16429.12"/>
        <n v="4542.3"/>
        <n v="416.0"/>
        <n v="21877.75"/>
        <n v="20449.38"/>
        <n v="4260.03"/>
        <n v="89875.5"/>
        <n v="5764.76"/>
        <n v="23455.72"/>
        <n v="424096.68"/>
        <n v="69655.3"/>
        <n v="891.51"/>
        <n v="70493.11"/>
        <n v="67654.74"/>
        <n v="429489.0"/>
        <n v="3032.5"/>
        <n v="122309.67"/>
        <n v="14603.73"/>
        <n v="3005.37"/>
        <n v="5138.4"/>
        <n v="3515.72"/>
        <n v="1169.19"/>
        <n v="611.96"/>
        <n v="472353.07"/>
        <n v="150844.53"/>
        <n v="7142.04"/>
        <n v="70239.78"/>
        <n v="588.34"/>
        <n v="1444.9"/>
        <n v="327.27"/>
        <n v="21734.45"/>
        <n v="23758.98"/>
        <n v="19505.7"/>
        <n v="33612.6"/>
        <n v="7687.4"/>
        <n v="6438.81"/>
        <n v="461908.86"/>
        <n v="3445.32"/>
        <n v="2991.66"/>
        <n v="33797.88"/>
        <n v="5839.68"/>
        <n v="19779.0"/>
        <n v="471.64"/>
        <n v="3840.09"/>
        <n v="79.02"/>
        <n v="9438.8"/>
        <n v="27262.5"/>
        <n v="4597.95"/>
        <n v="88078.44"/>
        <n v="9724.16"/>
        <n v="61068.64"/>
        <n v="252501.48"/>
        <n v="15386.76"/>
        <n v="9149.35"/>
        <n v="7607.28"/>
        <n v="1395.24"/>
        <n v="6578.28"/>
        <n v="1839.88"/>
        <n v="165524.76"/>
        <n v="29397.36"/>
        <n v="65042.16"/>
        <n v="50572.08"/>
        <n v="1043.89"/>
        <n v="10224.43"/>
        <n v="222144.9"/>
        <n v="2985.1"/>
        <n v="6777.61"/>
        <n v="25566.66"/>
        <n v="169294.28"/>
        <n v="12791.38"/>
        <n v="335852.05"/>
        <n v="48592.08"/>
        <n v="751.96"/>
        <n v="115109.13"/>
        <n v="512.15"/>
        <n v="7180.4"/>
        <n v="6424.86"/>
        <n v="3981.18"/>
        <n v="4659.41"/>
        <n v="416.64"/>
        <n v="18613.85"/>
        <n v="1332.06"/>
        <n v="352218.72"/>
        <n v="382782.82"/>
        <n v="4974.72"/>
        <n v="263564.68"/>
        <n v="2352.8"/>
        <n v="31342.29"/>
        <n v="6475.55"/>
        <n v="5670.95"/>
        <n v="15017.05"/>
        <n v="12801.25"/>
        <n v="3396.08"/>
        <n v="585.13"/>
        <n v="12091.36"/>
        <n v="6265.62"/>
        <n v="406.92"/>
        <n v="12940.05"/>
        <n v="5159.0"/>
        <n v="2778.45"/>
        <n v="44172.42"/>
        <n v="108254.98"/>
        <n v="5945.5"/>
        <n v="314996.08"/>
        <n v="125597.08"/>
        <n v="3616.08"/>
        <n v="255.24"/>
        <n v="2413.6"/>
        <n v="272014.6"/>
        <n v="79443.48"/>
        <n v="6071.95"/>
        <n v="17412.25"/>
        <n v="112563.0"/>
        <n v="214.52"/>
        <n v="255576.24"/>
        <n v="40545.6"/>
        <n v="8613.9"/>
        <n v="48359.4"/>
        <n v="102142.98"/>
        <n v="7031.46"/>
        <n v="221433.3"/>
        <n v="96079.74"/>
        <n v="53181.95"/>
        <n v="24084.75"/>
        <n v="152.28"/>
        <n v="110209.85"/>
        <n v="82686.8"/>
        <n v="2259.92"/>
        <n v="13074.48"/>
        <n v="13654.72"/>
        <n v="27829.44"/>
        <n v="292210.64"/>
        <n v="39839.48"/>
        <n v="281.64"/>
        <n v="19376.62"/>
        <n v="14749.0"/>
        <n v="208981.88"/>
        <n v="1966.3"/>
        <n v="12143.68"/>
        <n v="500.92"/>
        <n v="18257.0"/>
        <n v="406.7"/>
        <n v="18599.3"/>
        <n v="37394.3"/>
        <n v="354854.0"/>
        <n v="839.09"/>
        <n v="1734.18"/>
        <n v="60015.04"/>
        <n v="22300.6"/>
        <n v="461.16"/>
        <n v="2587.08"/>
        <n v="10438.02"/>
        <n v="1716.84"/>
        <n v="220.14"/>
        <n v="142780.28"/>
        <n v="33922.59"/>
        <n v="191871.39"/>
        <n v="185086.75"/>
        <n v="16785.48"/>
        <n v="20097.04"/>
        <n v="1460.18"/>
        <n v="945.57"/>
        <n v="256.1"/>
        <n v="55735.45"/>
        <n v="19280.94"/>
        <n v="83789.28"/>
        <n v="50081.25"/>
        <n v="5501.06"/>
        <n v="8055.9"/>
        <n v="2402.56"/>
        <n v="5547.27"/>
        <n v="1342.83"/>
        <n v="7841.33"/>
        <n v="3309.0"/>
        <n v="65053.24"/>
        <n v="528.75"/>
        <n v="161366.8"/>
        <n v="301395.7"/>
        <n v="6784.98"/>
        <n v="2899.59"/>
        <n v="96269.08"/>
        <n v="18052.24"/>
        <n v="102410.6"/>
        <n v="2398.98"/>
        <n v="644.35"/>
        <n v="285178.4"/>
        <n v="6244.64"/>
        <n v="25763.71"/>
        <n v="105215.18"/>
        <n v="104998.42"/>
        <n v="10185.5"/>
        <n v="67917.96"/>
        <n v="3411.64"/>
        <n v="151962.8"/>
        <n v="468065.64"/>
        <n v="682.27"/>
        <n v="424527.88"/>
        <n v="2554.95"/>
        <n v="1517.39"/>
        <n v="6442.14"/>
        <n v="6486.0"/>
        <n v="6464.8"/>
        <n v="1243.36"/>
        <n v="12244.1"/>
        <n v="75529.85"/>
        <n v="44459.4"/>
        <n v="6277.68"/>
        <n v="11787.86"/>
        <n v="60283.08"/>
        <n v="8351.77"/>
        <n v="153167.13"/>
        <n v="99496.32"/>
        <n v="4844.46"/>
        <n v="429299.85"/>
        <n v="9568.09"/>
        <n v="71890.38"/>
        <n v="5842.34"/>
        <n v="624.16"/>
        <n v="9268.91"/>
        <n v="525.7"/>
        <n v="55296.22"/>
        <n v="3689.4"/>
        <n v="22423.78"/>
        <n v="26861.1"/>
        <n v="20456.4"/>
        <n v="7983.12"/>
        <n v="2312.28"/>
        <n v="1531.46"/>
        <n v="2995.68"/>
        <n v="27409.04"/>
        <n v="1693.53"/>
        <n v="15864.59"/>
        <n v="376338.62"/>
        <n v="403.59"/>
        <n v="227665.27"/>
        <n v="45727.35"/>
        <n v="172226.8"/>
        <n v="176429.12"/>
        <n v="1486.43"/>
        <n v="664.99"/>
        <n v="3469.3"/>
        <n v="46051.35"/>
        <n v="9092.14"/>
        <n v="26638.26"/>
        <n v="730.38"/>
        <n v="185123.76"/>
        <n v="3432.41"/>
        <n v="311626.45"/>
        <n v="3216.7"/>
        <n v="109228.24"/>
        <n v="283100.76"/>
        <n v="7090.86"/>
        <n v="18333.95"/>
        <n v="3171.88"/>
        <n v="2435.42"/>
        <n v="22965.21"/>
        <n v="444875.94"/>
        <n v="311311.63"/>
        <n v="6729.31"/>
        <n v="825.04"/>
        <n v="9829.08"/>
        <n v="8236.2"/>
        <n v="59226.72"/>
        <n v="8719.5"/>
        <n v="1824.85"/>
        <n v="30152.5"/>
        <n v="320617.32"/>
        <n v="7025.23"/>
        <n v="475.36"/>
        <n v="1518.51"/>
        <n v="85385.76"/>
        <n v="3914.6"/>
        <n v="123843.68"/>
        <n v="127253.04"/>
        <n v="15967.52"/>
        <n v="2462.88"/>
        <n v="1347.8"/>
        <n v="10255.68"/>
        <n v="4962.75"/>
        <n v="28893.62"/>
        <n v="6181.68"/>
        <n v="2193.72"/>
        <n v="14110.28"/>
        <n v="5429.83"/>
        <n v="5783.89"/>
        <n v="778.04"/>
        <n v="8426.1"/>
        <n v="6489.85"/>
        <n v="245834.64"/>
        <n v="10822.95"/>
        <n v="23611.75"/>
        <n v="483885.29"/>
        <n v="127.06"/>
        <n v="10465.13"/>
        <n v="1279.08"/>
        <n v="4310.65"/>
        <n v="130075.85"/>
        <n v="139327.74"/>
        <n v="84663.88"/>
        <n v="565.21"/>
        <n v="2474.15"/>
        <n v="3834.47"/>
        <n v="20595.15"/>
        <n v="11173.14"/>
        <n v="1739.36"/>
        <n v="18538.15"/>
        <n v="19030.68"/>
        <n v="33171.08"/>
        <n v="395044.74"/>
        <n v="10070.27"/>
        <n v="16522.56"/>
        <n v="36297.82"/>
        <n v="298207.02"/>
        <n v="14001.24"/>
        <n v="1603.2"/>
        <n v="897.08"/>
        <n v="159657.64"/>
        <n v="126317.43"/>
        <n v="281688.88"/>
        <n v="3314.58"/>
        <n v="76352.95"/>
        <n v="27069.12"/>
        <n v="9796.56"/>
        <n v="15449.07"/>
        <n v="25357.78"/>
        <n v="62603.76"/>
        <n v="13554.78"/>
        <n v="153838.86"/>
        <n v="7499.17"/>
        <n v="23658.35"/>
        <n v="14368.2"/>
        <n v="537.76"/>
        <n v="134598.15"/>
        <n v="219.44"/>
        <n v="57208.6"/>
        <n v="2124.78"/>
        <n v="484.35"/>
        <n v="18599.08"/>
        <n v="29534.9"/>
        <n v="37839.44"/>
        <n v="78610.0"/>
        <n v="26245.17"/>
        <n v="959.63"/>
        <n v="30436.6"/>
        <n v="2989.49"/>
        <n v="50802.8"/>
        <n v="5326.5"/>
        <n v="38009.92"/>
        <n v="4260.42"/>
        <n v="5493.96"/>
        <n v="76523.42"/>
        <n v="49619.85"/>
        <n v="460.86"/>
        <n v="14117.49"/>
        <n v="455.53"/>
        <n v="106275.2"/>
        <n v="31138.8"/>
        <n v="23697.15"/>
        <n v="125184.42"/>
        <n v="10878.72"/>
        <n v="1703.88"/>
        <n v="165.26"/>
        <n v="7956.13"/>
        <n v="2244.8"/>
        <n v="232.86"/>
        <n v="3054.72"/>
        <n v="117642.86"/>
        <n v="68940.65"/>
        <n v="54424.44"/>
        <n v="9374.68"/>
        <n v="51396.68"/>
        <n v="190662.15"/>
        <n v="4058.05"/>
        <n v="72937.96"/>
        <n v="12643.1"/>
        <n v="42369.2"/>
        <n v="640.92"/>
        <n v="33321.76"/>
        <n v="7131.05"/>
        <n v="395.66"/>
        <n v="7220.8"/>
        <n v="71438.94"/>
        <n v="5732.75"/>
        <n v="3341.94"/>
        <n v="2648.25"/>
        <n v="1127.38"/>
        <n v="45572.12"/>
        <n v="18902.8"/>
        <n v="4645.86"/>
        <n v="361702.25"/>
        <n v="4344.64"/>
        <n v="45236.24"/>
        <n v="407.04"/>
        <n v="1364.96"/>
        <n v="30989.68"/>
        <n v="188264.22"/>
        <n v="296.68"/>
        <n v="11049.3"/>
        <n v="1609.32"/>
        <n v="3138.52"/>
        <n v="1562.88"/>
        <n v="113522.71"/>
        <n v="150656.03"/>
        <n v="52430.6"/>
        <n v="175332.72"/>
        <n v="22012.26"/>
        <n v="21190.5"/>
        <n v="366985.4"/>
        <n v="24358.4"/>
        <n v="8378.04"/>
        <n v="1936.68"/>
        <n v="80705.4"/>
        <n v="2367.48"/>
        <n v="53376.4"/>
        <n v="1603.74"/>
        <n v="39878.54"/>
        <n v="4477.56"/>
        <n v="102193.86"/>
        <n v="5548.45"/>
        <n v="9464.85"/>
        <n v="1564.58"/>
        <n v="157867.0"/>
        <n v="267741.8"/>
        <n v="441972.66"/>
        <n v="48751.08"/>
        <n v="3927.6"/>
        <n v="2792.88"/>
        <n v="2823.64"/>
        <n v="6658.14"/>
        <n v="8860.81"/>
        <n v="7685.52"/>
        <n v="9395.61"/>
        <n v="187.68"/>
        <n v="8974.89"/>
        <n v="28714.14"/>
        <n v="127.48"/>
        <n v="1767.12"/>
        <n v="1924.28"/>
        <n v="161860.5"/>
        <n v="61452.45"/>
        <n v="53763.21"/>
        <n v="48576.88"/>
        <n v="18777.92"/>
        <n v="106359.24"/>
        <n v="9346.36"/>
        <n v="154532.52"/>
        <n v="899.28"/>
        <n v="25545.48"/>
        <n v="3972.96"/>
        <n v="1163.03"/>
        <n v="314340.95"/>
        <n v="20581.47"/>
        <n v="409353.84"/>
        <n v="9145.18"/>
        <n v="11098.92"/>
        <n v="18326.36"/>
        <n v="2983.68"/>
        <n v="3835.36"/>
        <n v="27160.62"/>
        <n v="481.1"/>
        <n v="229918.2"/>
        <n v="7926.0"/>
        <n v="305357.5"/>
        <n v="3750.42"/>
        <n v="2873.64"/>
        <n v="5485.08"/>
        <n v="474199.74"/>
        <n v="701.28"/>
        <n v="105181.78"/>
        <n v="72353.86"/>
        <n v="15450.96"/>
        <n v="9776.08"/>
        <n v="9947.16"/>
        <n v="5059.32"/>
        <n v="206237.85"/>
        <n v="1821.48"/>
        <n v="8375.36"/>
        <n v="8353.9"/>
        <n v="16589.35"/>
        <n v="113307.33"/>
        <n v="13921.2"/>
        <n v="1605.2"/>
        <n v="354665.4"/>
        <n v="103254.97"/>
        <n v="359086.92"/>
        <n v="261711.8"/>
        <n v="3027.75"/>
        <n v="172813.2"/>
        <n v="2670.46"/>
        <n v="23812.74"/>
        <n v="6025.74"/>
        <n v="219915.48"/>
        <n v="276799.14"/>
        <n v="140267.61"/>
        <n v="39267.03"/>
        <n v="22594.98"/>
        <n v="16799.5"/>
        <n v="26088.52"/>
        <n v="754.74"/>
        <n v="293751.56"/>
        <n v="1499.08"/>
        <n v="9800.76"/>
        <n v="63270.42"/>
        <n v="14120.64"/>
        <n v="124.12"/>
        <n v="3446.2"/>
        <n v="4257.57"/>
        <n v="245.18"/>
        <n v="33561.18"/>
        <n v="154107.1"/>
        <n v="1627.12"/>
        <n v="2439.4"/>
        <n v="2104.52"/>
        <n v="2838.6"/>
        <n v="66439.24"/>
        <n v="35778.52"/>
        <n v="209270.85"/>
        <n v="90613.11"/>
        <n v="2909.76"/>
        <n v="20092.88"/>
        <n v="13521.78"/>
        <n v="87198.3"/>
        <n v="58727.88"/>
        <n v="6575.92"/>
        <n v="108544.08"/>
        <n v="64274.94"/>
        <n v="1650.22"/>
        <n v="2859.15"/>
        <n v="2343.92"/>
        <n v="295275.96"/>
        <n v="26193.13"/>
        <n v="27651.93"/>
        <n v="61132.12"/>
        <n v="301309.1"/>
        <n v="3526.24"/>
        <n v="10303.55"/>
        <n v="109260.94"/>
        <n v="1196.86"/>
        <n v="12433.8"/>
        <n v="32107.8"/>
        <n v="11072.48"/>
        <n v="462587.72"/>
        <n v="3452.82"/>
        <n v="8280.42"/>
        <n v="19169.29"/>
        <n v="137482.38"/>
        <n v="330069.53"/>
        <n v="30946.62"/>
        <n v="2199.85"/>
        <n v="19504.05"/>
        <n v="30217.35"/>
        <n v="365108.59"/>
        <n v="18476.16"/>
        <n v="2874.08"/>
        <n v="1309.47"/>
        <n v="83114.08"/>
        <n v="1546.08"/>
        <n v="19668.51"/>
        <n v="320256.24"/>
        <n v="10752.9"/>
        <n v="283821.86"/>
        <n v="445.6"/>
        <n v="485205.98"/>
        <n v="120545.07"/>
        <n v="133613.18"/>
        <n v="389293.02"/>
        <n v="12692.0"/>
        <n v="406790.3"/>
        <n v="5134.36"/>
        <n v="884.52"/>
        <n v="3340.76"/>
        <n v="44544.6"/>
        <n v="7493.12"/>
        <n v="5611.95"/>
        <n v="5604.2"/>
        <n v="15834.07"/>
        <n v="50147.15"/>
        <n v="79022.04"/>
        <n v="37844.28"/>
        <n v="6540.85"/>
        <n v="58554.7"/>
        <n v="8820.26"/>
        <n v="5701.36"/>
        <n v="5318.46"/>
        <n v="4575.27"/>
        <n v="20548.6"/>
        <n v="62903.76"/>
        <n v="243747.4"/>
        <n v="57015.56"/>
        <n v="330334.9"/>
        <n v="5767.27"/>
        <n v="248673.72"/>
        <n v="155329.4"/>
        <n v="41126.72"/>
        <n v="249144.2"/>
        <n v="74088.42"/>
        <n v="130604.25"/>
        <n v="5551.21"/>
        <n v="22549.04"/>
        <n v="131182.56"/>
        <n v="6402.92"/>
        <n v="9159.3"/>
        <n v="1266.12"/>
        <n v="354451.02"/>
        <n v="50640.19"/>
        <n v="4498.02"/>
        <n v="4349.2"/>
        <n v="504959.77"/>
        <n v="161966.4"/>
        <n v="29061.68"/>
        <n v="16601.04"/>
        <n v="1225.58"/>
        <n v="107319.73"/>
        <n v="10615.74"/>
        <n v="106495.36"/>
        <n v="29245.58"/>
        <n v="13576.29"/>
        <n v="70898.06"/>
        <n v="24943.8"/>
        <n v="23782.21"/>
        <n v="13171.45"/>
        <n v="12745.6"/>
        <n v="938.23"/>
        <n v="246480.12"/>
        <n v="7719.88"/>
        <n v="765.25"/>
        <n v="1598.2"/>
        <n v="1656.45"/>
        <n v="337504.98"/>
        <n v="115633.68"/>
        <n v="53411.7"/>
        <n v="4630.36"/>
        <n v="41927.06"/>
        <n v="33755.4"/>
        <n v="199829.49"/>
        <n v="86478.49"/>
        <n v="18857.2"/>
        <n v="73563.15"/>
        <n v="18575.37"/>
        <n v="5529.6"/>
        <n v="151360.29"/>
        <n v="4044.65"/>
        <n v="29853.6"/>
        <n v="478.84"/>
        <n v="10769.19"/>
        <n v="28635.21"/>
        <n v="64009.7"/>
        <n v="8553.49"/>
        <n v="134392.38"/>
        <n v="29320.48"/>
        <n v="33071.28"/>
        <n v="276345.96"/>
        <n v="133813.08"/>
        <n v="22334.76"/>
        <n v="33878.53"/>
        <n v="23906.87"/>
        <n v="96.08"/>
        <n v="987.58"/>
        <n v="487268.25"/>
        <n v="3881.85"/>
        <n v="218845.98"/>
        <n v="3605.07"/>
        <n v="7059.0"/>
        <n v="20209.72"/>
        <n v="11226.15"/>
        <n v="40374.5"/>
        <n v="137.7"/>
        <n v="5784.48"/>
        <n v="4401.64"/>
        <n v="1693.26"/>
        <n v="1714.52"/>
        <n v="48701.46"/>
        <n v="14633.72"/>
        <n v="4711.21"/>
        <n v="10193.16"/>
        <n v="51324.72"/>
        <n v="5085.92"/>
        <n v="243420.88"/>
        <n v="5683.16"/>
        <n v="7212.0"/>
        <n v="4046.6"/>
        <n v="12304.2"/>
        <n v="1835.52"/>
        <n v="7654.5"/>
        <n v="105182.52"/>
        <n v="71053.35"/>
        <n v="7346.7"/>
        <n v="64937.12"/>
        <n v="111884.64"/>
        <n v="6466.09"/>
        <n v="5206.0"/>
        <n v="22323.9"/>
        <n v="2050.29"/>
        <n v="69796.08"/>
        <n v="34097.6"/>
        <n v="51663.05"/>
        <n v="30683.46"/>
        <n v="12837.08"/>
        <n v="184286.94"/>
        <n v="8807.82"/>
        <n v="5419.5"/>
        <n v="4330.34"/>
        <n v="197840.32"/>
        <n v="1608.06"/>
        <n v="19562.34"/>
        <n v="116349.04"/>
        <n v="122660.18"/>
        <n v="37101.8"/>
        <n v="5936.16"/>
        <n v="2702.94"/>
        <n v="4794.3"/>
        <n v="17725.26"/>
        <n v="4169.08"/>
        <n v="2717.78"/>
        <n v="130457.24"/>
        <n v="4329.25"/>
        <n v="11967.16"/>
        <n v="30221.66"/>
        <n v="1626.1"/>
        <n v="8036.42"/>
        <n v="1573.48"/>
        <n v="309016.92"/>
        <n v="11061.16"/>
        <n v="475900.46"/>
        <n v="4510.52"/>
        <n v="315832.56"/>
        <n v="143931.96"/>
        <n v="14315.52"/>
        <n v="143330.98"/>
        <n v="4307.04"/>
        <n v="19227.58"/>
        <n v="37913.58"/>
        <n v="388.45"/>
        <n v="3349.4"/>
        <n v="12044.0"/>
        <n v="235051.4"/>
        <n v="6268.74"/>
        <n v="24363.22"/>
        <n v="1104.78"/>
        <n v="249812.85"/>
        <n v="2290.16"/>
        <n v="74451.9"/>
        <n v="28074.88"/>
        <n v="7279.68"/>
        <n v="237.3"/>
        <n v="9570.72"/>
        <n v="1070.92"/>
        <n v="177579.21"/>
        <n v="84054.55"/>
        <n v="9415.04"/>
        <n v="15362.36"/>
        <n v="17900.74"/>
        <n v="4515.56"/>
        <n v="62846.37"/>
        <n v="878.49"/>
        <n v="17312.61"/>
        <n v="775.32"/>
        <n v="154684.56"/>
        <n v="54702.97"/>
        <n v="1539.61"/>
        <n v="9339.05"/>
        <n v="168315.56"/>
        <n v="632.79"/>
        <n v="9522.5"/>
        <n v="384170.64"/>
        <n v="9356.66"/>
        <n v="12442.32"/>
        <n v="62029.32"/>
        <n v="10719.94"/>
        <n v="69247.08"/>
        <n v="29709.82"/>
        <n v="138974.6"/>
        <n v="4102.04"/>
        <n v="8790.46"/>
        <n v="117723.08"/>
        <n v="3621.3"/>
        <n v="4795.72"/>
        <n v="43117.19"/>
        <n v="8989.68"/>
        <n v="376152.66"/>
        <n v="6501.88"/>
        <n v="4542.44"/>
        <n v="510869.03"/>
        <n v="920.22"/>
        <n v="284187.96"/>
        <n v="6950.04"/>
        <n v="6394.08"/>
        <n v="3469.28"/>
        <n v="888.95"/>
        <n v="329077.56"/>
        <n v="2817.84"/>
        <n v="31412.15"/>
        <n v="22554.95"/>
        <n v="69390.56"/>
        <n v="69595.44"/>
        <n v="178900.2"/>
        <n v="7995.47"/>
        <n v="22402.9"/>
        <n v="102531.58"/>
        <n v="22631.14"/>
        <n v="10781.25"/>
        <n v="21556.92"/>
        <n v="483204.4"/>
        <n v="46586.34"/>
        <n v="78834.0"/>
        <n v="8113.49"/>
        <n v="115816.68"/>
        <n v="15503.4"/>
        <n v="143982.96"/>
        <n v="447714.48"/>
        <n v="1361.82"/>
        <n v="72114.98"/>
        <n v="5173.8"/>
        <n v="6700.29"/>
        <n v="9180.22"/>
        <n v="228186.4"/>
        <n v="16732.14"/>
        <n v="5600.94"/>
        <n v="1239.93"/>
        <n v="437864.42"/>
        <n v="31861.11"/>
        <n v="8877.12"/>
        <n v="238907.48"/>
        <n v="122917.38"/>
        <n v="73210.69"/>
        <n v="427864.78"/>
        <n v="495723.34"/>
        <n v="55127.55"/>
        <n v="504.98"/>
        <n v="4772.11"/>
        <n v="123950.7"/>
        <n v="73821.48"/>
        <n v="4744.2"/>
        <n v="32360.72"/>
        <n v="1877.67"/>
        <n v="29020.6"/>
        <n v="6089.4"/>
        <n v="212971.48"/>
        <n v="12703.46"/>
        <n v="2110.02"/>
        <n v="17443.58"/>
        <n v="4458.12"/>
        <n v="1378.45"/>
        <n v="279810.2"/>
        <n v="73929.12"/>
        <n v="3306.48"/>
        <n v="381263.04"/>
        <n v="27417.54"/>
        <n v="6318.08"/>
        <n v="15461.74"/>
        <n v="6734.42"/>
        <n v="32613.42"/>
        <n v="1218.48"/>
        <n v="3985.08"/>
        <n v="2774.01"/>
        <n v="107783.58"/>
        <n v="250513.97"/>
        <n v="13383.94"/>
        <n v="119309.26"/>
        <n v="1380.52"/>
        <n v="193578.15"/>
        <n v="222579.3"/>
        <n v="286958.4"/>
        <n v="3563.8"/>
        <n v="32111.31"/>
        <n v="153095.04"/>
        <n v="17979.7"/>
        <n v="66663.24"/>
        <n v="8808.39"/>
        <n v="194444.0"/>
        <n v="163126.67"/>
        <n v="5043.29"/>
        <n v="115891.48"/>
        <n v="107842.44"/>
        <n v="5051.18"/>
        <n v="288471.05"/>
        <n v="2017.33"/>
        <n v="2615.76"/>
        <n v="71809.43"/>
        <n v="4476.2"/>
        <n v="3993.96"/>
        <n v="9351.3"/>
        <n v="2139.6"/>
        <n v="778.8"/>
        <n v="3753.61"/>
        <n v="38309.16"/>
        <n v="66627.82"/>
        <n v="1320.24"/>
        <n v="16949.04"/>
        <n v="27016.98"/>
        <n v="6167.49"/>
        <n v="18710.06"/>
        <n v="5683.44"/>
        <n v="384561.66"/>
        <n v="241532.2"/>
        <n v="8143.94"/>
        <n v="3202.08"/>
        <n v="58201.85"/>
        <n v="1004.73"/>
        <n v="5105.2"/>
        <n v="11204.08"/>
        <n v="36163.14"/>
        <n v="38146.74"/>
        <n v="8405.39"/>
        <n v="46111.4"/>
        <n v="14595.91"/>
        <n v="2714.08"/>
        <n v="1299.1"/>
        <n v="17070.38"/>
        <n v="18799.31"/>
        <n v="3824.4"/>
        <n v="207872.35"/>
        <n v="4468.75"/>
        <n v="13108.63"/>
        <n v="11264.68"/>
        <n v="2438.1"/>
        <n v="17519.95"/>
        <n v="14707.42"/>
        <n v="21595.62"/>
        <n v="2661.9"/>
        <n v="2745.89"/>
        <n v="129693.45"/>
        <n v="123974.56"/>
        <n v="316357.35"/>
        <n v="257647.53"/>
        <n v="1693.28"/>
        <n v="307260.0"/>
        <n v="2186.36"/>
        <n v="5692.8"/>
        <n v="36116.81"/>
        <n v="2903.91"/>
        <n v="48372.17"/>
        <n v="13895.28"/>
        <n v="221622.31"/>
        <n v="104675.7"/>
        <n v="83519.5"/>
        <n v="13251.72"/>
        <n v="7111.95"/>
        <n v="2817.06"/>
        <n v="144.32"/>
        <n v="6193.18"/>
        <n v="58462.72"/>
        <n v="14550.2"/>
        <n v="89057.01"/>
        <n v="58947.05"/>
        <n v="12830.24"/>
        <n v="194492.34"/>
        <n v="82697.04"/>
        <n v="72194.6"/>
        <n v="123238.26"/>
        <n v="217430.37"/>
        <n v="5643.6"/>
        <n v="22180.89"/>
        <n v="35348.76"/>
        <n v="33414.57"/>
        <n v="79857.15"/>
        <n v="31078.68"/>
        <n v="1558.28"/>
        <n v="40157.12"/>
        <n v="3854.37"/>
        <n v="1917.32"/>
        <n v="215.69"/>
        <n v="159303.3"/>
        <n v="271519.02"/>
        <n v="9274.45"/>
        <n v="168101.15"/>
        <n v="73931.1"/>
        <n v="2028.12"/>
        <n v="34936.4"/>
        <n v="11527.16"/>
        <n v="2442.72"/>
        <n v="17859.94"/>
        <n v="77418.66"/>
        <n v="32970.3"/>
        <n v="9316.3"/>
        <n v="41024.31"/>
        <n v="51886.69"/>
        <n v="20198.2"/>
        <n v="219.21"/>
        <n v="14720.74"/>
        <n v="132076.47"/>
        <n v="4865.72"/>
        <n v="4547.3"/>
        <n v="3333.72"/>
        <n v="9983.35"/>
        <n v="19368.7"/>
        <n v="74657.91"/>
        <n v="38298.16"/>
        <n v="52138.44"/>
        <n v="2247.64"/>
        <n v="170381.82"/>
        <n v="4696.56"/>
        <n v="3090.72"/>
        <n v="4405.83"/>
        <n v="1936.11"/>
        <n v="6304.06"/>
        <n v="35443.16"/>
        <n v="55429.54"/>
        <n v="272471.48"/>
        <n v="4157.6"/>
        <n v="167579.8"/>
        <n v="115240.5"/>
        <n v="11529.42"/>
        <n v="10331.07"/>
        <n v="16127.58"/>
        <n v="119248.85"/>
        <n v="615.35"/>
        <n v="102574.38"/>
        <n v="103075.92"/>
        <n v="3835.98"/>
        <n v="37868.0"/>
        <n v="15544.7"/>
        <n v="37941.6"/>
        <n v="130.24"/>
        <n v="4743.51"/>
        <n v="34572.2"/>
        <n v="20825.85"/>
        <n v="108590.94"/>
        <n v="73665.55"/>
        <n v="14838.33"/>
        <n v="203894.58"/>
        <n v="7213.48"/>
        <n v="23991.76"/>
        <n v="14010.16"/>
        <n v="6490.26"/>
        <n v="2582.84"/>
        <n v="36254.49"/>
        <n v="22925.35"/>
        <n v="4750.38"/>
        <n v="9112.38"/>
        <n v="28196.9"/>
        <n v="30557.45"/>
        <n v="62.32"/>
        <n v="10410.33"/>
        <n v="19011.52"/>
        <n v="23052.66"/>
        <n v="162428.7"/>
        <n v="14112.09"/>
        <n v="660.3"/>
        <n v="10608.56"/>
        <n v="56679.39"/>
        <n v="6775.36"/>
        <n v="4914.84"/>
        <n v="16104.5"/>
        <n v="3055.49"/>
        <n v="82614.3"/>
        <n v="42876.42"/>
        <n v="222769.68"/>
        <n v="2144.71"/>
        <n v="436696.02"/>
        <n v="422731.44"/>
        <n v="7952.22"/>
        <n v="6618.22"/>
        <n v="147526.59"/>
        <n v="3344.31"/>
        <n v="46470.6"/>
        <n v="35982.72"/>
        <n v="3440.0"/>
        <n v="5894.5"/>
        <n v="14786.52"/>
        <n v="47537.32"/>
        <n v="5265.27"/>
        <n v="40240.2"/>
        <n v="3468.84"/>
        <n v="3812.3"/>
        <n v="1032.36"/>
        <n v="62574.9"/>
        <n v="1848.52"/>
        <n v="609.78"/>
        <n v="7315.74"/>
        <n v="213861.36"/>
        <n v="35651.84"/>
        <n v="112555.64"/>
        <n v="24285.59"/>
        <n v="26985.84"/>
        <n v="9903.95"/>
        <n v="359286.72"/>
        <n v="1650.0"/>
        <n v="20195.76"/>
        <n v="1087.57"/>
        <n v="52103.07"/>
        <n v="7874.3"/>
        <n v="27767.68"/>
        <n v="215998.28"/>
        <n v="37196.0"/>
        <n v="13786.05"/>
        <n v="722.4"/>
        <n v="987.29"/>
        <n v="2733.1"/>
        <n v="5276.58"/>
        <n v="34987.75"/>
        <n v="20218.18"/>
        <n v="17270.33"/>
        <n v="1048.05"/>
        <n v="29813.98"/>
        <n v="58295.28"/>
        <n v="2148.09"/>
        <n v="24595.02"/>
        <n v="27451.62"/>
        <n v="11564.35"/>
        <n v="5243.94"/>
        <n v="15967.83"/>
        <n v="260972.28"/>
        <n v="78273.5"/>
        <n v="15323.88"/>
        <n v="824.77"/>
        <n v="1582.95"/>
        <n v="38282.79"/>
        <n v="71712.18"/>
        <n v="7924.44"/>
        <n v="12047.26"/>
        <n v="5650.0"/>
        <n v="4557.25"/>
        <n v="4929.45"/>
        <n v="8738.02"/>
        <n v="43471.38"/>
        <n v="2275.26"/>
        <n v="6821.64"/>
        <n v="380.75"/>
        <n v="98024.36"/>
        <n v="80739.57"/>
        <n v="69416.26"/>
        <n v="3251.4"/>
        <n v="79138.52"/>
        <n v="40554.48"/>
        <n v="406711.41"/>
        <n v="9493.92"/>
        <n v="27563.82"/>
        <n v="2204.13"/>
        <n v="4241.76"/>
        <n v="355743.29"/>
        <n v="3191.1"/>
        <n v="3858.32"/>
        <n v="1149.2"/>
        <n v="244202.8"/>
        <n v="256.47"/>
        <n v="13789.44"/>
        <n v="5009.35"/>
        <n v="101633.4"/>
        <n v="67610.64"/>
        <n v="119414.12"/>
        <n v="2752.68"/>
        <n v="98353.45"/>
        <n v="22848.56"/>
        <n v="7081.77"/>
        <n v="18131.89"/>
        <n v="759.57"/>
        <n v="5037.06"/>
        <n v="26657.96"/>
        <n v="426758.82"/>
        <n v="1805.96"/>
        <n v="3948.6"/>
      </sharedItems>
    </cacheField>
    <cacheField name="Cost" numFmtId="165">
      <sharedItems containsSemiMixedTypes="0" containsString="0" containsNumber="1">
        <n v="2909.63"/>
        <n v="15423.08"/>
        <n v="40637.79"/>
        <n v="2657.58"/>
        <n v="29032.21"/>
        <n v="2045.19"/>
        <n v="139399.12"/>
        <n v="19865.23"/>
        <n v="200859.45"/>
        <n v="2506.87"/>
        <n v="5220.9"/>
        <n v="499.28"/>
        <n v="24969.43"/>
        <n v="192.45"/>
        <n v="785.01"/>
        <n v="221990.6"/>
        <n v="40069.91"/>
        <n v="1276.68"/>
        <n v="226240.5"/>
        <n v="49092.33"/>
        <n v="6903.75"/>
        <n v="3015.48"/>
        <n v="102045.61"/>
        <n v="40592.35"/>
        <n v="4261.24"/>
        <n v="1440.57"/>
        <n v="71687.44"/>
        <n v="40466.62"/>
        <n v="558.71"/>
        <n v="2448.89"/>
        <n v="26912.37"/>
        <n v="582.55"/>
        <n v="23071.51"/>
        <n v="20313.58"/>
        <n v="15471.75"/>
        <n v="3538.89"/>
        <n v="9231.86"/>
        <n v="2232.68"/>
        <n v="37055.13"/>
        <n v="2991.68"/>
        <n v="1264.7"/>
        <n v="18229.54"/>
        <n v="20959.62"/>
        <n v="535.37"/>
        <n v="5502.55"/>
        <n v="55507.33"/>
        <n v="110343.45"/>
        <n v="538.55"/>
        <n v="14159.72"/>
        <n v="3785.75"/>
        <n v="285.9"/>
        <n v="19388.55"/>
        <n v="17172.29"/>
        <n v="3291.54"/>
        <n v="67079.56"/>
        <n v="4164.24"/>
        <n v="19407.22"/>
        <n v="359443.43"/>
        <n v="52681.84"/>
        <n v="692.34"/>
        <n v="64837.32"/>
        <n v="51394.62"/>
        <n v="347978.98"/>
        <n v="2628.61"/>
        <n v="92886.78"/>
        <n v="11797.7"/>
        <n v="2189.39"/>
        <n v="3841.29"/>
        <n v="3140.6"/>
        <n v="848.23"/>
        <n v="466.77"/>
        <n v="425246.66"/>
        <n v="123873.96"/>
        <n v="5796.49"/>
        <n v="63088.18"/>
        <n v="488.76"/>
        <n v="1027.29"/>
        <n v="237.85"/>
        <n v="17680.02"/>
        <n v="19232.2"/>
        <n v="15399.37"/>
        <n v="28840.1"/>
        <n v="6484.09"/>
        <n v="5411.69"/>
        <n v="408225.74"/>
        <n v="2772.96"/>
        <n v="2459.69"/>
        <n v="29332.97"/>
        <n v="4512.54"/>
        <n v="16320.07"/>
        <n v="372.67"/>
        <n v="2905.07"/>
        <n v="66.97"/>
        <n v="7610.96"/>
        <n v="22889.87"/>
        <n v="3645.0"/>
        <n v="63830.8"/>
        <n v="8531.96"/>
        <n v="49658.02"/>
        <n v="221286.81"/>
        <n v="11402.06"/>
        <n v="6914.24"/>
        <n v="5907.36"/>
        <n v="1180.1"/>
        <n v="5568.79"/>
        <n v="1567.54"/>
        <n v="148565.38"/>
        <n v="21923.39"/>
        <n v="53047.23"/>
        <n v="43314.83"/>
        <n v="820.95"/>
        <n v="8500.99"/>
        <n v="193003.94"/>
        <n v="2472.87"/>
        <n v="4901.76"/>
        <n v="22807.4"/>
        <n v="150075.75"/>
        <n v="9810.18"/>
        <n v="269025.2"/>
        <n v="42064.01"/>
        <n v="540.55"/>
        <n v="101060.11"/>
        <n v="403.97"/>
        <n v="5070.42"/>
        <n v="5602.22"/>
        <n v="3305.93"/>
        <n v="3542.7"/>
        <n v="295.81"/>
        <n v="16313.16"/>
        <n v="1089.7"/>
        <n v="303908.3"/>
        <n v="313491.84"/>
        <n v="4225.87"/>
        <n v="214733.68"/>
        <n v="1931.98"/>
        <n v="27972.17"/>
        <n v="5342.73"/>
        <n v="4281.78"/>
        <n v="11632.35"/>
        <n v="10226.88"/>
        <n v="2714.58"/>
        <n v="438.65"/>
        <n v="10867.75"/>
        <n v="4310.11"/>
        <n v="284.89"/>
        <n v="10529.78"/>
        <n v="3651.06"/>
        <n v="2237.7"/>
        <n v="35579.81"/>
        <n v="91979.03"/>
        <n v="4784.27"/>
        <n v="286749.17"/>
        <n v="100208.77"/>
        <n v="2478.91"/>
        <n v="194.47"/>
        <n v="1870.72"/>
        <n v="250012.15"/>
        <n v="71442.48"/>
        <n v="4531.15"/>
        <n v="14396.91"/>
        <n v="94479.05"/>
        <n v="146.02"/>
        <n v="231451.26"/>
        <n v="34516.01"/>
        <n v="6966.98"/>
        <n v="40080.06"/>
        <n v="85155.53"/>
        <n v="6171.28"/>
        <n v="187792.21"/>
        <n v="77218.26"/>
        <n v="45712.94"/>
        <n v="19553.14"/>
        <n v="108.18"/>
        <n v="98120.32"/>
        <n v="73593.79"/>
        <n v="1952.63"/>
        <n v="10916.1"/>
        <n v="9850.12"/>
        <n v="21511.93"/>
        <n v="260671.6"/>
        <n v="32896.8"/>
        <n v="201.43"/>
        <n v="16270.2"/>
        <n v="13100.79"/>
        <n v="176006.98"/>
        <n v="1541.23"/>
        <n v="10786.64"/>
        <n v="410.59"/>
        <n v="14710.76"/>
        <n v="297.1"/>
        <n v="13917.43"/>
        <n v="30023.7"/>
        <n v="290271.62"/>
        <n v="637.03"/>
        <n v="1300.14"/>
        <n v="45189.95"/>
        <n v="17720.14"/>
        <n v="354.07"/>
        <n v="1982.58"/>
        <n v="8104.05"/>
        <n v="1479.36"/>
        <n v="151.07"/>
        <n v="121606.23"/>
        <n v="28225.39"/>
        <n v="161062.42"/>
        <n v="156277.3"/>
        <n v="14455.7"/>
        <n v="15963.31"/>
        <n v="1163.79"/>
        <n v="648.63"/>
        <n v="200.63"/>
        <n v="41926.07"/>
        <n v="15021.55"/>
        <n v="71759.4"/>
        <n v="43964.05"/>
        <n v="4562.84"/>
        <n v="6020.24"/>
        <n v="1735.54"/>
        <n v="4435.37"/>
        <n v="998.58"/>
        <n v="6149.75"/>
        <n v="2839.76"/>
        <n v="55364.8"/>
        <n v="430.83"/>
        <n v="136010.36"/>
        <n v="248649.66"/>
        <n v="5436.32"/>
        <n v="2461.65"/>
        <n v="78878.6"/>
        <n v="14450.36"/>
        <n v="88435.64"/>
        <n v="1917.85"/>
        <n v="540.05"/>
        <n v="229833.01"/>
        <n v="5229.01"/>
        <n v="20129.38"/>
        <n v="88922.33"/>
        <n v="95380.89"/>
        <n v="8345.46"/>
        <n v="60246.98"/>
        <n v="2449.28"/>
        <n v="130284.52"/>
        <n v="398218.2"/>
        <n v="545.0"/>
        <n v="357005.02"/>
        <n v="2063.43"/>
        <n v="1046.02"/>
        <n v="4758.74"/>
        <n v="4732.63"/>
        <n v="5699.04"/>
        <n v="971.21"/>
        <n v="10738.47"/>
        <n v="65958.39"/>
        <n v="40106.28"/>
        <n v="4922.67"/>
        <n v="9603.39"/>
        <n v="43812.47"/>
        <n v="6920.95"/>
        <n v="127999.39"/>
        <n v="73892.47"/>
        <n v="3702.32"/>
        <n v="375714.14"/>
        <n v="7398.48"/>
        <n v="58673.52"/>
        <n v="4344.59"/>
        <n v="513.78"/>
        <n v="7895.08"/>
        <n v="406.34"/>
        <n v="48490.87"/>
        <n v="3052.31"/>
        <n v="18991.16"/>
        <n v="24552.14"/>
        <n v="15462.75"/>
        <n v="5671.57"/>
        <n v="1781.68"/>
        <n v="1140.32"/>
        <n v="2076.16"/>
        <n v="21882.44"/>
        <n v="1364.31"/>
        <n v="12987.04"/>
        <n v="305601.98"/>
        <n v="283.78"/>
        <n v="205057.37"/>
        <n v="38328.06"/>
        <n v="141245.45"/>
        <n v="160669.03"/>
        <n v="1180.2"/>
        <n v="460.61"/>
        <n v="2711.94"/>
        <n v="38991.97"/>
        <n v="6849.57"/>
        <n v="22208.18"/>
        <n v="630.83"/>
        <n v="154353.44"/>
        <n v="2918.79"/>
        <n v="270100.97"/>
        <n v="2462.33"/>
        <n v="94111.02"/>
        <n v="249451.87"/>
        <n v="6023.44"/>
        <n v="15378.54"/>
        <n v="2361.06"/>
        <n v="1736.05"/>
        <n v="17343.98"/>
        <n v="390904.94"/>
        <n v="271174.62"/>
        <n v="5399.86"/>
        <n v="622.48"/>
        <n v="8481.27"/>
        <n v="6640.72"/>
        <n v="43721.68"/>
        <n v="6315.06"/>
        <n v="1464.58"/>
        <n v="27068.57"/>
        <n v="258461.96"/>
        <n v="6419.14"/>
        <n v="342.61"/>
        <n v="1086.79"/>
        <n v="75969.53"/>
        <n v="3305.17"/>
        <n v="101199.67"/>
        <n v="113237.0"/>
        <n v="14354.52"/>
        <n v="1734.41"/>
        <n v="1130.6"/>
        <n v="8262.15"/>
        <n v="4048.63"/>
        <n v="22526.58"/>
        <n v="4544.3"/>
        <n v="1862.68"/>
        <n v="11216.88"/>
        <n v="4110.0"/>
        <n v="4689.91"/>
        <n v="531.65"/>
        <n v="5982.01"/>
        <n v="5081.58"/>
        <n v="221620.57"/>
        <n v="8769.66"/>
        <n v="19809.45"/>
        <n v="394662.86"/>
        <n v="86.58"/>
        <n v="8644.29"/>
        <n v="912.01"/>
        <n v="3537.94"/>
        <n v="111820.06"/>
        <n v="112956.8"/>
        <n v="63383.02"/>
        <n v="459.26"/>
        <n v="1962.52"/>
        <n v="3237.72"/>
        <n v="16533.91"/>
        <n v="9289.97"/>
        <n v="1510.3"/>
        <n v="16125.34"/>
        <n v="16651.04"/>
        <n v="26505.24"/>
        <n v="355937.54"/>
        <n v="8446.32"/>
        <n v="14584.13"/>
        <n v="33290.73"/>
        <n v="266791.56"/>
        <n v="11445.02"/>
        <n v="1163.09"/>
        <n v="675.05"/>
        <n v="132818.02"/>
        <n v="106423.56"/>
        <n v="229704.74"/>
        <n v="2263.45"/>
        <n v="64511.84"/>
        <n v="20342.25"/>
        <n v="8361.36"/>
        <n v="13384.82"/>
        <n v="22187.4"/>
        <n v="49683.29"/>
        <n v="11311.97"/>
        <n v="130717.34"/>
        <n v="6320.98"/>
        <n v="17709.56"/>
        <n v="11623.01"/>
        <n v="442.75"/>
        <n v="117195.0"/>
        <n v="181.89"/>
        <n v="43379.18"/>
        <n v="1629.9"/>
        <n v="365.49"/>
        <n v="16456.22"/>
        <n v="22331.13"/>
        <n v="31626.27"/>
        <n v="58028.31"/>
        <n v="22652.83"/>
        <n v="740.92"/>
        <n v="22205.67"/>
        <n v="2230.87"/>
        <n v="45987.0"/>
        <n v="4236.3"/>
        <n v="31925.52"/>
        <n v="3784.76"/>
        <n v="4515.28"/>
        <n v="62255.42"/>
        <n v="41318.59"/>
        <n v="324.91"/>
        <n v="11819.96"/>
        <n v="320.16"/>
        <n v="94390.72"/>
        <n v="24999.6"/>
        <n v="20247.79"/>
        <n v="114083.99"/>
        <n v="8931.26"/>
        <n v="1400.29"/>
        <n v="121.37"/>
        <n v="6367.89"/>
        <n v="1753.49"/>
        <n v="163.94"/>
        <n v="2469.09"/>
        <n v="97618.91"/>
        <n v="60364.76"/>
        <n v="47787.24"/>
        <n v="6542.01"/>
        <n v="41265.24"/>
        <n v="170973.7"/>
        <n v="3337.78"/>
        <n v="62736.7"/>
        <n v="10075.72"/>
        <n v="30892.34"/>
        <n v="449.71"/>
        <n v="29605.61"/>
        <n v="5180.09"/>
        <n v="281.08"/>
        <n v="5811.77"/>
        <n v="59655.72"/>
        <n v="4161.41"/>
        <n v="2968.02"/>
        <n v="2188.78"/>
        <n v="771.13"/>
        <n v="40648.83"/>
        <n v="15242.21"/>
        <n v="3749.12"/>
        <n v="299827.05"/>
        <n v="3372.75"/>
        <n v="37741.18"/>
        <n v="299.22"/>
        <n v="1055.84"/>
        <n v="22825.39"/>
        <n v="152805.01"/>
        <n v="241.51"/>
        <n v="7958.42"/>
        <n v="1247.13"/>
        <n v="2448.44"/>
        <n v="1111.69"/>
        <n v="96434.86"/>
        <n v="126981.06"/>
        <n v="46805.73"/>
        <n v="159433.48"/>
        <n v="17326.49"/>
        <n v="15826.62"/>
        <n v="304677.51"/>
        <n v="17689.77"/>
        <n v="5823.01"/>
        <n v="1418.44"/>
        <n v="68132.68"/>
        <n v="1623.72"/>
        <n v="45433.42"/>
        <n v="1205.5"/>
        <n v="33529.95"/>
        <n v="3539.74"/>
        <n v="87174.2"/>
        <n v="4045.65"/>
        <n v="7901.73"/>
        <n v="1211.9"/>
        <n v="130956.39"/>
        <n v="215049.15"/>
        <n v="395485.52"/>
        <n v="39084.49"/>
        <n v="2925.47"/>
        <n v="2356.22"/>
        <n v="1932.19"/>
        <n v="4918.97"/>
        <n v="6803.66"/>
        <n v="6851.39"/>
        <n v="8219.25"/>
        <n v="128.34"/>
        <n v="6990.85"/>
        <n v="26199.38"/>
        <n v="95.03"/>
        <n v="1498.41"/>
        <n v="1431.63"/>
        <n v="144555.83"/>
        <n v="49870.24"/>
        <n v="42826.09"/>
        <n v="44305.02"/>
        <n v="15585.33"/>
        <n v="89364.16"/>
        <n v="7566.33"/>
        <n v="129488.17"/>
        <n v="712.43"/>
        <n v="22126.23"/>
        <n v="3081.07"/>
        <n v="1020.16"/>
        <n v="287299.54"/>
        <n v="17958.86"/>
        <n v="376550.51"/>
        <n v="7542.82"/>
        <n v="9360.55"/>
        <n v="13307.57"/>
        <n v="2181.66"/>
        <n v="2916.49"/>
        <n v="24750.16"/>
        <n v="350.2"/>
        <n v="209396.32"/>
        <n v="6314.99"/>
        <n v="267842.95"/>
        <n v="3050.64"/>
        <n v="2336.15"/>
        <n v="4241.38"/>
        <n v="435586.35"/>
        <n v="497.79"/>
        <n v="86792.72"/>
        <n v="63057.14"/>
        <n v="13571.11"/>
        <n v="8405.42"/>
        <n v="8292.72"/>
        <n v="4284.81"/>
        <n v="180990.88"/>
        <n v="1244.78"/>
        <n v="7012.81"/>
        <n v="7249.28"/>
        <n v="14743.09"/>
        <n v="98713.25"/>
        <n v="12024.77"/>
        <n v="1153.21"/>
        <n v="300394.3"/>
        <n v="88020.01"/>
        <n v="292009.25"/>
        <n v="233906.0"/>
        <n v="2488.0"/>
        <n v="143622.14"/>
        <n v="1851.3"/>
        <n v="21801.27"/>
        <n v="4471.31"/>
        <n v="187232.8"/>
        <n v="253322.43"/>
        <n v="125138.9"/>
        <n v="29612.67"/>
        <n v="19077.69"/>
        <n v="14164.66"/>
        <n v="23485.43"/>
        <n v="616.54"/>
        <n v="252560.44"/>
        <n v="1321.96"/>
        <n v="8373.41"/>
        <n v="51618.13"/>
        <n v="12300.21"/>
        <n v="89.71"/>
        <n v="2359.81"/>
        <n v="3007.66"/>
        <n v="198.12"/>
        <n v="29201.64"/>
        <n v="133879.17"/>
        <n v="1364.68"/>
        <n v="1992.3"/>
        <n v="1452.26"/>
        <n v="2295.19"/>
        <n v="47920.5"/>
        <n v="28537.35"/>
        <n v="179459.4"/>
        <n v="80352.57"/>
        <n v="2013.55"/>
        <n v="17603.21"/>
        <n v="11197.98"/>
        <n v="78975.04"/>
        <n v="51194.54"/>
        <n v="4837.35"/>
        <n v="89145.48"/>
        <n v="48525.4"/>
        <n v="1145.58"/>
        <n v="2140.61"/>
        <n v="1764.55"/>
        <n v="244431.56"/>
        <n v="21013.02"/>
        <n v="22131.8"/>
        <n v="45376.55"/>
        <n v="274664.8"/>
        <n v="2432.5"/>
        <n v="9015.16"/>
        <n v="99457.27"/>
        <n v="976.77"/>
        <n v="9783.16"/>
        <n v="24541.46"/>
        <n v="9134.66"/>
        <n v="389571.97"/>
        <n v="2650.05"/>
        <n v="6273.68"/>
        <n v="15778.6"/>
        <n v="116255.66"/>
        <n v="292472.99"/>
        <n v="25891.36"/>
        <n v="1921.17"/>
        <n v="15366.74"/>
        <n v="22887.07"/>
        <n v="333170.71"/>
        <n v="15084.7"/>
        <n v="2365.65"/>
        <n v="1110.34"/>
        <n v="75196.3"/>
        <n v="1097.65"/>
        <n v="15167.57"/>
        <n v="276435.94"/>
        <n v="8647.04"/>
        <n v="232014.55"/>
        <n v="306.89"/>
        <n v="422089.54"/>
        <n v="102369.27"/>
        <n v="107789.57"/>
        <n v="311583.48"/>
        <n v="10822.64"/>
        <n v="337085.54"/>
        <n v="4141.83"/>
        <n v="680.35"/>
        <n v="2649.91"/>
        <n v="35323.6"/>
        <n v="6627.74"/>
        <n v="4741.2"/>
        <n v="5000.16"/>
        <n v="13121.3"/>
        <n v="42786.08"/>
        <n v="70209.47"/>
        <n v="32272.0"/>
        <n v="4696.99"/>
        <n v="48732.68"/>
        <n v="6503.77"/>
        <n v="4518.05"/>
        <n v="4717.19"/>
        <n v="3833.18"/>
        <n v="15792.81"/>
        <n v="45735.32"/>
        <n v="200027.12"/>
        <n v="49801.9"/>
        <n v="264807.73"/>
        <n v="4386.15"/>
        <n v="199566.9"/>
        <n v="136420.55"/>
        <n v="32749.39"/>
        <n v="205789.04"/>
        <n v="58996.22"/>
        <n v="106453.32"/>
        <n v="4000.0"/>
        <n v="20675.9"/>
        <n v="113095.77"/>
        <n v="5127.95"/>
        <n v="7732.51"/>
        <n v="1103.07"/>
        <n v="301331.2"/>
        <n v="42832.72"/>
        <n v="3240.27"/>
        <n v="3689.76"/>
        <n v="423409.02"/>
        <n v="130169.47"/>
        <n v="25202.38"/>
        <n v="12229.62"/>
        <n v="921.84"/>
        <n v="83200.76"/>
        <n v="9065.35"/>
        <n v="91754.61"/>
        <n v="25702.81"/>
        <n v="10757.61"/>
        <n v="62330.42"/>
        <n v="18060.51"/>
        <n v="19428.87"/>
        <n v="11590.76"/>
        <n v="9511.11"/>
        <n v="778.27"/>
        <n v="197203.31"/>
        <n v="5356.15"/>
        <n v="621.77"/>
        <n v="1287.58"/>
        <n v="1258.36"/>
        <n v="308356.19"/>
        <n v="94102.48"/>
        <n v="48650.36"/>
        <n v="3481.13"/>
        <n v="30639.36"/>
        <n v="26365.15"/>
        <n v="168356.89"/>
        <n v="66499.2"/>
        <n v="14691.73"/>
        <n v="62094.56"/>
        <n v="16645.55"/>
        <n v="3815.33"/>
        <n v="125947.96"/>
        <n v="3382.87"/>
        <n v="25989.37"/>
        <n v="332.03"/>
        <n v="9193.39"/>
        <n v="22554.1"/>
        <n v="55743.8"/>
        <n v="7001.52"/>
        <n v="113998.61"/>
        <n v="22104.74"/>
        <n v="24101.7"/>
        <n v="223579.72"/>
        <n v="115354.62"/>
        <n v="18651.46"/>
        <n v="26995.59"/>
        <n v="19184.28"/>
        <n v="79.31"/>
        <n v="687.35"/>
        <n v="426892.65"/>
        <n v="3228.72"/>
        <n v="175286.46"/>
        <n v="3106.31"/>
        <n v="5701.1"/>
        <n v="18169.53"/>
        <n v="9670.66"/>
        <n v="34592.14"/>
        <n v="116.42"/>
        <n v="4146.52"/>
        <n v="3475.03"/>
        <n v="1243.91"/>
        <n v="1403.65"/>
        <n v="44538.94"/>
        <n v="12094.04"/>
        <n v="3546.31"/>
        <n v="7760.6"/>
        <n v="44015.15"/>
        <n v="4097.85"/>
        <n v="212868.15"/>
        <n v="4351.76"/>
        <n v="5746.25"/>
        <n v="2826.36"/>
        <n v="10343.49"/>
        <n v="1574.78"/>
        <n v="5555.76"/>
        <n v="80509.33"/>
        <n v="57480.41"/>
        <n v="6112.36"/>
        <n v="51085.98"/>
        <n v="93906.34"/>
        <n v="5097.58"/>
        <n v="4368.85"/>
        <n v="20479.46"/>
        <n v="1687.36"/>
        <n v="60365.13"/>
        <n v="29651.82"/>
        <n v="44352.26"/>
        <n v="24753.82"/>
        <n v="10456.2"/>
        <n v="150503.26"/>
        <n v="6988.45"/>
        <n v="4094.27"/>
        <n v="3100.1"/>
        <n v="170213.34"/>
        <n v="1356.93"/>
        <n v="15792.53"/>
        <n v="93208.9"/>
        <n v="105977.49"/>
        <n v="32227.04"/>
        <n v="4965.42"/>
        <n v="2251.56"/>
        <n v="3683.79"/>
        <n v="13402.42"/>
        <n v="3625.96"/>
        <n v="2088.04"/>
        <n v="119178.71"/>
        <n v="3527.14"/>
        <n v="9408.38"/>
        <n v="25610.87"/>
        <n v="1367.76"/>
        <n v="6293.9"/>
        <n v="1195.23"/>
        <n v="277488.64"/>
        <n v="8290.13"/>
        <n v="392394.38"/>
        <n v="3395.44"/>
        <n v="263886.85"/>
        <n v="131265.48"/>
        <n v="11429.9"/>
        <n v="117740.12"/>
        <n v="3104.07"/>
        <n v="13855.13"/>
        <n v="30851.53"/>
        <n v="320.39"/>
        <n v="2371.01"/>
        <n v="9285.22"/>
        <n v="192973.47"/>
        <n v="5524.17"/>
        <n v="20289.79"/>
        <n v="794.92"/>
        <n v="207516.17"/>
        <n v="1610.46"/>
        <n v="60526.78"/>
        <n v="21581.09"/>
        <n v="6480.33"/>
        <n v="180.58"/>
        <n v="7586.0"/>
        <n v="781.36"/>
        <n v="160893.55"/>
        <n v="61151.15"/>
        <n v="7390.07"/>
        <n v="12859.05"/>
        <n v="15044.24"/>
        <n v="3532.81"/>
        <n v="54783.58"/>
        <n v="726.93"/>
        <n v="13015.28"/>
        <n v="618.93"/>
        <n v="124314.92"/>
        <n v="43934.19"/>
        <n v="1269.11"/>
        <n v="6538.59"/>
        <n v="144210.9"/>
        <n v="444.87"/>
        <n v="7865.84"/>
        <n v="349039.04"/>
        <n v="7255.03"/>
        <n v="10605.46"/>
        <n v="54797.6"/>
        <n v="7912.72"/>
        <n v="55146.05"/>
        <n v="25852.31"/>
        <n v="119223.33"/>
        <n v="2877.2"/>
        <n v="6158.51"/>
        <n v="94431.65"/>
        <n v="2839.72"/>
        <n v="3942.64"/>
        <n v="39390.61"/>
        <n v="7343.5"/>
        <n v="345692.74"/>
        <n v="4876.6"/>
        <n v="3122.96"/>
        <n v="409733.43"/>
        <n v="765.7"/>
        <n v="249299.23"/>
        <n v="5810.45"/>
        <n v="5160.44"/>
        <n v="2506.67"/>
        <n v="728.13"/>
        <n v="277330.17"/>
        <n v="2276.37"/>
        <n v="23363.18"/>
        <n v="17969.6"/>
        <n v="51758.04"/>
        <n v="51867.83"/>
        <n v="160675.94"/>
        <n v="6080.41"/>
        <n v="20053.92"/>
        <n v="91488.98"/>
        <n v="17811.44"/>
        <n v="8171.37"/>
        <n v="16382.49"/>
        <n v="386954.62"/>
        <n v="42223.04"/>
        <n v="63149.33"/>
        <n v="5552.61"/>
        <n v="98966.52"/>
        <n v="11640.2"/>
        <n v="130495.39"/>
        <n v="408793.02"/>
        <n v="1099.37"/>
        <n v="60916.42"/>
        <n v="3866.39"/>
        <n v="5760.63"/>
        <n v="7608.39"/>
        <n v="189120.74"/>
        <n v="14585.91"/>
        <n v="4699.66"/>
        <n v="939.63"/>
        <n v="387880.78"/>
        <n v="25747.48"/>
        <n v="6984.97"/>
        <n v="213990.36"/>
        <n v="110602.57"/>
        <n v="62810.1"/>
        <n v="356764.45"/>
        <n v="414813.35"/>
        <n v="47630.42"/>
        <n v="420.18"/>
        <n v="3597.09"/>
        <n v="105254.28"/>
        <n v="61684.96"/>
        <n v="4032.87"/>
        <n v="28304.77"/>
        <n v="1537.83"/>
        <n v="23746.4"/>
        <n v="5021.49"/>
        <n v="191664.74"/>
        <n v="11018.79"/>
        <n v="1656.1"/>
        <n v="15025.05"/>
        <n v="3777.87"/>
        <n v="1145.81"/>
        <n v="236878.12"/>
        <n v="61013.02"/>
        <n v="2334.3"/>
        <n v="319079.37"/>
        <n v="23482.79"/>
        <n v="5504.63"/>
        <n v="13406.43"/>
        <n v="5679.54"/>
        <n v="23843.48"/>
        <n v="961.59"/>
        <n v="3167.34"/>
        <n v="1993.55"/>
        <n v="82360.37"/>
        <n v="214142.36"/>
        <n v="11138.39"/>
        <n v="98464.8"/>
        <n v="1071.65"/>
        <n v="163483.57"/>
        <n v="197693.67"/>
        <n v="233694.4"/>
        <n v="2721.83"/>
        <n v="27802.97"/>
        <n v="131712.42"/>
        <n v="14840.45"/>
        <n v="58484.95"/>
        <n v="7366.06"/>
        <n v="173446.5"/>
        <n v="131821.59"/>
        <n v="3671.97"/>
        <n v="95395.07"/>
        <n v="95270.84"/>
        <n v="3823.15"/>
        <n v="253255.33"/>
        <n v="1487.01"/>
        <n v="2169.11"/>
        <n v="59243.78"/>
        <n v="3076.09"/>
        <n v="3396.5"/>
        <n v="7285.7"/>
        <n v="1616.9"/>
        <n v="593.13"/>
        <n v="2650.91"/>
        <n v="30780.44"/>
        <n v="57019.94"/>
        <n v="981.16"/>
        <n v="12949.1"/>
        <n v="22451.2"/>
        <n v="4501.12"/>
        <n v="15958.32"/>
        <n v="4600.08"/>
        <n v="316605.24"/>
        <n v="201452.87"/>
        <n v="6627.92"/>
        <n v="2198.28"/>
        <n v="46804.33"/>
        <n v="799.01"/>
        <n v="3853.86"/>
        <n v="8461.83"/>
        <n v="30655.62"/>
        <n v="31832.44"/>
        <n v="6230.14"/>
        <n v="39124.15"/>
        <n v="12030.62"/>
        <n v="2236.31"/>
        <n v="932.41"/>
        <n v="13280.76"/>
        <n v="17089.38"/>
        <n v="3019.39"/>
        <n v="167502.65"/>
        <n v="3838.24"/>
        <n v="9862.29"/>
        <n v="8595.11"/>
        <n v="1905.34"/>
        <n v="15546.18"/>
        <n v="11217.17"/>
        <n v="18630.36"/>
        <n v="2015.49"/>
        <n v="2091.38"/>
        <n v="110230.77"/>
        <n v="105006.2"/>
        <n v="283983.82"/>
        <n v="212984.56"/>
        <n v="1452.07"/>
        <n v="248270.07"/>
        <n v="1639.51"/>
        <n v="4441.53"/>
        <n v="32746.49"/>
        <n v="2402.16"/>
        <n v="44486.72"/>
        <n v="10886.23"/>
        <n v="181386.9"/>
        <n v="78853.16"/>
        <n v="74523.36"/>
        <n v="11877.89"/>
        <n v="6341.09"/>
        <n v="2146.26"/>
        <n v="102.84"/>
        <n v="5179.21"/>
        <n v="44968.84"/>
        <n v="10919.31"/>
        <n v="81665.58"/>
        <n v="51426.28"/>
        <n v="10136.77"/>
        <n v="175882.29"/>
        <n v="60799.37"/>
        <n v="61420.83"/>
        <n v="106997.51"/>
        <n v="176246.28"/>
        <n v="4204.64"/>
        <n v="19778.23"/>
        <n v="26624.15"/>
        <n v="25356.04"/>
        <n v="64530.82"/>
        <n v="26698.17"/>
        <n v="1254.95"/>
        <n v="29931.32"/>
        <n v="2776.68"/>
        <n v="1373.37"/>
        <n v="149.49"/>
        <n v="137795.48"/>
        <n v="246899.97"/>
        <n v="7352.39"/>
        <n v="135786.12"/>
        <n v="59629.53"/>
        <n v="1596.25"/>
        <n v="28741.03"/>
        <n v="9761.93"/>
        <n v="1785.82"/>
        <n v="15325.37"/>
        <n v="68910.0"/>
        <n v="27257.02"/>
        <n v="6974.95"/>
        <n v="35413.35"/>
        <n v="47373.42"/>
        <n v="18008.8"/>
        <n v="156.73"/>
        <n v="13504.84"/>
        <n v="120384.95"/>
        <n v="3343.89"/>
        <n v="3693.52"/>
        <n v="2634.62"/>
        <n v="8721.4"/>
        <n v="17065.89"/>
        <n v="62224.45"/>
        <n v="28664.01"/>
        <n v="43984.06"/>
        <n v="1642.02"/>
        <n v="154647.07"/>
        <n v="3396.76"/>
        <n v="2462.7"/>
        <n v="3199.41"/>
        <n v="1420.0"/>
        <n v="4844.0"/>
        <n v="26359.56"/>
        <n v="47470.92"/>
        <n v="245563.82"/>
        <n v="3036.71"/>
        <n v="146475.61"/>
        <n v="100359.56"/>
        <n v="9085.29"/>
        <n v="8536.59"/>
        <n v="14090.07"/>
        <n v="92796.52"/>
        <n v="514.57"/>
        <n v="86029.54"/>
        <n v="85750.55"/>
        <n v="2668.95"/>
        <n v="28478.06"/>
        <n v="14290.82"/>
        <n v="30911.2"/>
        <n v="109.17"/>
        <n v="3950.3"/>
        <n v="27698.59"/>
        <n v="16660.57"/>
        <n v="89024.16"/>
        <n v="62742.34"/>
        <n v="12368.55"/>
        <n v="172888.06"/>
        <n v="5876.21"/>
        <n v="20834.99"/>
        <n v="11713.7"/>
        <n v="4513.8"/>
        <n v="2080.07"/>
        <n v="27265.01"/>
        <n v="17551.51"/>
        <n v="3631.56"/>
        <n v="8340.32"/>
        <n v="24404.07"/>
        <n v="23430.58"/>
        <n v="49.09"/>
        <n v="7699.06"/>
        <n v="14619.83"/>
        <n v="18361.83"/>
        <n v="135213.32"/>
        <n v="11484.83"/>
        <n v="545.77"/>
        <n v="8255.83"/>
        <n v="51107.3"/>
        <n v="5882.32"/>
        <n v="3770.24"/>
        <n v="13116.18"/>
        <n v="2652.06"/>
        <n v="63906.82"/>
        <n v="33882.62"/>
        <n v="187305.65"/>
        <n v="1656.63"/>
        <n v="400608.41"/>
        <n v="352271.69"/>
        <n v="6129.47"/>
        <n v="4834.51"/>
        <n v="131754.18"/>
        <n v="2576.68"/>
        <n v="36549.92"/>
        <n v="31135.22"/>
        <n v="2820.42"/>
        <n v="5121.92"/>
        <n v="11935.45"/>
        <n v="41057.99"/>
        <n v="4493.96"/>
        <n v="33607.22"/>
        <n v="2893.61"/>
        <n v="3118.26"/>
        <n v="893.71"/>
        <n v="48026.55"/>
        <n v="1533.51"/>
        <n v="513.35"/>
        <n v="5240.5"/>
        <n v="176572.19"/>
        <n v="30810.39"/>
        <n v="91458.04"/>
        <n v="21467.7"/>
        <n v="23094.5"/>
        <n v="7114.1"/>
        <n v="318818.99"/>
        <n v="1211.97"/>
        <n v="14733.14"/>
        <n v="770.0"/>
        <n v="46298.26"/>
        <n v="5501.99"/>
        <n v="24268.7"/>
        <n v="175994.94"/>
        <n v="27203.21"/>
        <n v="12025.09"/>
        <n v="603.99"/>
        <n v="833.43"/>
        <n v="2260.84"/>
        <n v="4086.77"/>
        <n v="31302.31"/>
        <n v="16260.48"/>
        <n v="15409.82"/>
        <n v="942.64"/>
        <n v="24280.08"/>
        <n v="46404.75"/>
        <n v="1480.93"/>
        <n v="19989.98"/>
        <n v="22534.09"/>
        <n v="9126.13"/>
        <n v="4159.8"/>
        <n v="11945.18"/>
        <n v="239401.1"/>
        <n v="61605.0"/>
        <n v="13698.78"/>
        <n v="659.32"/>
        <n v="1117.7"/>
        <n v="29759.48"/>
        <n v="58472.98"/>
        <n v="6138.82"/>
        <n v="8982.89"/>
        <n v="4742.46"/>
        <n v="3560.59"/>
        <n v="3788.33"/>
        <n v="7296.2"/>
        <n v="36333.13"/>
        <n v="1747.68"/>
        <n v="5381.15"/>
        <n v="271.9"/>
        <n v="72935.65"/>
        <n v="69957.78"/>
        <n v="56767.2"/>
        <n v="2703.43"/>
        <n v="66719.87"/>
        <n v="32764.91"/>
        <n v="352960.89"/>
        <n v="7707.64"/>
        <n v="22202.35"/>
        <n v="1588.44"/>
        <n v="3337.03"/>
        <n v="316188.69"/>
        <n v="2332.59"/>
        <n v="2897.6"/>
        <n v="846.86"/>
        <n v="214658.94"/>
        <n v="227.59"/>
        <n v="12300.97"/>
        <n v="4291.86"/>
        <n v="85472.84"/>
        <n v="50090.93"/>
        <n v="97330.9"/>
        <n v="2252.71"/>
        <n v="80815.99"/>
        <n v="18737.49"/>
        <n v="5428.55"/>
        <n v="14682.04"/>
        <n v="642.74"/>
        <n v="3967.7"/>
        <n v="22903.29"/>
        <n v="372308.29"/>
        <n v="1389.78"/>
        <n v="2772.58"/>
      </sharedItems>
    </cacheField>
    <cacheField name="Profit" numFmtId="165">
      <sharedItems containsSemiMixedTypes="0" containsString="0" containsNumber="1">
        <n v="977.13"/>
        <n v="3723.5"/>
        <n v="7954.17"/>
        <n v="599.27"/>
        <n v="3697.27"/>
        <n v="683.01"/>
        <n v="30512.48"/>
        <n v="3720.89"/>
        <n v="40598.34"/>
        <n v="631.25"/>
        <n v="1193.36"/>
        <n v="222.5"/>
        <n v="3892.55"/>
        <n v="51.99"/>
        <n v="334.88"/>
        <n v="49865.15"/>
        <n v="9660.49"/>
        <n v="393.69"/>
        <n v="43389.34"/>
        <n v="14341.11"/>
        <n v="1334.57"/>
        <n v="1251.72"/>
        <n v="23577.79"/>
        <n v="8951.39"/>
        <n v="593.51"/>
        <n v="295.74"/>
        <n v="14788.04"/>
        <n v="9462.08"/>
        <n v="196.54"/>
        <n v="395.23"/>
        <n v="3962.18"/>
        <n v="168.83"/>
        <n v="7462.23"/>
        <n v="5271.68"/>
        <n v="3468.63"/>
        <n v="627.33"/>
        <n v="1077.34"/>
        <n v="706.24"/>
        <n v="6858.03"/>
        <n v="595.73"/>
        <n v="400.52"/>
        <n v="2476.72"/>
        <n v="5153.25"/>
        <n v="97.61"/>
        <n v="1765.25"/>
        <n v="9076.23"/>
        <n v="26422.87"/>
        <n v="160.43"/>
        <n v="2269.4"/>
        <n v="756.55"/>
        <n v="130.1"/>
        <n v="2489.2"/>
        <n v="3277.09"/>
        <n v="968.49"/>
        <n v="22795.94"/>
        <n v="1600.52"/>
        <n v="4048.5"/>
        <n v="64653.25"/>
        <n v="16973.46"/>
        <n v="199.17"/>
        <n v="5655.79"/>
        <n v="16260.12"/>
        <n v="81510.02"/>
        <n v="403.89"/>
        <n v="29422.89"/>
        <n v="2806.03"/>
        <n v="815.98"/>
        <n v="1297.11"/>
        <n v="375.12"/>
        <n v="320.96"/>
        <n v="145.19"/>
        <n v="47106.41"/>
        <n v="26970.57"/>
        <n v="1345.55"/>
        <n v="7151.6"/>
        <n v="99.58"/>
        <n v="417.61"/>
        <n v="89.42"/>
        <n v="4054.43"/>
        <n v="4526.78"/>
        <n v="4106.33"/>
        <n v="4772.5"/>
        <n v="1203.31"/>
        <n v="1027.12"/>
        <n v="53683.12"/>
        <n v="672.36"/>
        <n v="531.97"/>
        <n v="4464.91"/>
        <n v="1327.14"/>
        <n v="3458.93"/>
        <n v="98.97"/>
        <n v="935.02"/>
        <n v="12.05"/>
        <n v="1827.84"/>
        <n v="4372.63"/>
        <n v="952.95"/>
        <n v="24247.64"/>
        <n v="1192.2"/>
        <n v="11410.62"/>
        <n v="31214.67"/>
        <n v="3984.7"/>
        <n v="2235.11"/>
        <n v="1699.92"/>
        <n v="215.14"/>
        <n v="1009.49"/>
        <n v="272.34"/>
        <n v="16959.38"/>
        <n v="7473.97"/>
        <n v="11994.93"/>
        <n v="7257.25"/>
        <n v="222.94"/>
        <n v="1723.44"/>
        <n v="29140.96"/>
        <n v="512.23"/>
        <n v="1875.85"/>
        <n v="2759.26"/>
        <n v="19218.53"/>
        <n v="2981.2"/>
        <n v="66826.85"/>
        <n v="6528.07"/>
        <n v="211.41"/>
        <n v="14049.02"/>
        <n v="108.18"/>
        <n v="2109.98"/>
        <n v="822.64"/>
        <n v="675.25"/>
        <n v="1116.71"/>
        <n v="120.83"/>
        <n v="2300.69"/>
        <n v="242.36"/>
        <n v="48310.42"/>
        <n v="69290.98"/>
        <n v="748.85"/>
        <n v="48831.0"/>
        <n v="420.82"/>
        <n v="3370.12"/>
        <n v="1132.82"/>
        <n v="1389.17"/>
        <n v="3384.7"/>
        <n v="2574.37"/>
        <n v="681.5"/>
        <n v="146.48"/>
        <n v="1223.61"/>
        <n v="1955.51"/>
        <n v="122.03"/>
        <n v="2410.27"/>
        <n v="1507.94"/>
        <n v="540.75"/>
        <n v="8592.61"/>
        <n v="16275.95"/>
        <n v="1161.23"/>
        <n v="28246.91"/>
        <n v="25388.31"/>
        <n v="1137.17"/>
        <n v="60.77"/>
        <n v="542.88"/>
        <n v="22002.45"/>
        <n v="8001.0"/>
        <n v="1540.8"/>
        <n v="3015.34"/>
        <n v="18083.95"/>
        <n v="68.5"/>
        <n v="24124.98"/>
        <n v="6029.59"/>
        <n v="1646.92"/>
        <n v="8279.34"/>
        <n v="16987.45"/>
        <n v="860.18"/>
        <n v="33641.09"/>
        <n v="18861.48"/>
        <n v="7469.01"/>
        <n v="4531.61"/>
        <n v="44.1"/>
        <n v="12089.53"/>
        <n v="9093.01"/>
        <n v="307.29"/>
        <n v="2158.38"/>
        <n v="3804.6"/>
        <n v="6317.51"/>
        <n v="31539.04"/>
        <n v="6942.68"/>
        <n v="80.21"/>
        <n v="3106.42"/>
        <n v="1648.21"/>
        <n v="32974.9"/>
        <n v="425.07"/>
        <n v="1357.04"/>
        <n v="90.33"/>
        <n v="3546.24"/>
        <n v="109.6"/>
        <n v="4681.87"/>
        <n v="7370.6"/>
        <n v="64582.38"/>
        <n v="202.06"/>
        <n v="434.04"/>
        <n v="14825.09"/>
        <n v="4580.46"/>
        <n v="107.09"/>
        <n v="604.5"/>
        <n v="2333.97"/>
        <n v="237.48"/>
        <n v="69.07"/>
        <n v="21174.05"/>
        <n v="5697.2"/>
        <n v="30808.97"/>
        <n v="28809.45"/>
        <n v="2329.78"/>
        <n v="4133.73"/>
        <n v="296.39"/>
        <n v="296.94"/>
        <n v="55.47"/>
        <n v="13809.38"/>
        <n v="4259.39"/>
        <n v="12029.88"/>
        <n v="6117.2"/>
        <n v="938.22"/>
        <n v="2035.66"/>
        <n v="667.02"/>
        <n v="1111.9"/>
        <n v="344.25"/>
        <n v="1691.58"/>
        <n v="469.24"/>
        <n v="9688.44"/>
        <n v="97.92"/>
        <n v="25356.44"/>
        <n v="52746.04"/>
        <n v="1348.66"/>
        <n v="437.94"/>
        <n v="17390.48"/>
        <n v="3601.88"/>
        <n v="13974.96"/>
        <n v="481.13"/>
        <n v="104.3"/>
        <n v="55345.39"/>
        <n v="1015.63"/>
        <n v="5634.33"/>
        <n v="16292.85"/>
        <n v="9617.53"/>
        <n v="1840.04"/>
        <n v="7670.98"/>
        <n v="962.36"/>
        <n v="21678.28"/>
        <n v="69847.44"/>
        <n v="137.27"/>
        <n v="67522.86"/>
        <n v="491.52"/>
        <n v="471.37"/>
        <n v="1683.4"/>
        <n v="1753.37"/>
        <n v="765.76"/>
        <n v="272.15"/>
        <n v="1505.63"/>
        <n v="9571.46"/>
        <n v="4353.12"/>
        <n v="1355.01"/>
        <n v="2184.47"/>
        <n v="16470.61"/>
        <n v="1430.82"/>
        <n v="25167.74"/>
        <n v="25603.85"/>
        <n v="1142.14"/>
        <n v="53585.71"/>
        <n v="2169.61"/>
        <n v="13216.86"/>
        <n v="1497.75"/>
        <n v="110.38"/>
        <n v="1373.83"/>
        <n v="119.36"/>
        <n v="6805.35"/>
        <n v="637.09"/>
        <n v="3432.62"/>
        <n v="2308.96"/>
        <n v="4993.65"/>
        <n v="2311.55"/>
        <n v="530.6"/>
        <n v="391.14"/>
        <n v="919.52"/>
        <n v="5526.6"/>
        <n v="329.22"/>
        <n v="2877.55"/>
        <n v="70736.64"/>
        <n v="119.81"/>
        <n v="22607.9"/>
        <n v="7399.29"/>
        <n v="30981.35"/>
        <n v="15760.09"/>
        <n v="306.23"/>
        <n v="204.38"/>
        <n v="757.36"/>
        <n v="7059.38"/>
        <n v="2242.57"/>
        <n v="4430.08"/>
        <n v="99.55"/>
        <n v="30770.32"/>
        <n v="513.62"/>
        <n v="41525.48"/>
        <n v="754.37"/>
        <n v="15117.22"/>
        <n v="33648.89"/>
        <n v="1067.42"/>
        <n v="2955.41"/>
        <n v="810.82"/>
        <n v="699.37"/>
        <n v="5621.23"/>
        <n v="53971.0"/>
        <n v="40137.01"/>
        <n v="1329.45"/>
        <n v="202.56"/>
        <n v="1347.81"/>
        <n v="1595.48"/>
        <n v="15505.04"/>
        <n v="2404.44"/>
        <n v="360.27"/>
        <n v="3083.93"/>
        <n v="62155.36"/>
        <n v="606.09"/>
        <n v="132.75"/>
        <n v="431.72"/>
        <n v="9416.23"/>
        <n v="609.43"/>
        <n v="22644.01"/>
        <n v="14016.04"/>
        <n v="1613.0"/>
        <n v="728.47"/>
        <n v="217.2"/>
        <n v="1993.53"/>
        <n v="914.12"/>
        <n v="6367.04"/>
        <n v="1637.38"/>
        <n v="331.04"/>
        <n v="2893.4"/>
        <n v="1319.83"/>
        <n v="1093.98"/>
        <n v="246.39"/>
        <n v="2444.09"/>
        <n v="1408.27"/>
        <n v="24214.07"/>
        <n v="2053.29"/>
        <n v="3802.3"/>
        <n v="89222.43"/>
        <n v="40.48"/>
        <n v="1820.84"/>
        <n v="367.07"/>
        <n v="772.71"/>
        <n v="18255.79"/>
        <n v="26370.94"/>
        <n v="21280.86"/>
        <n v="105.95"/>
        <n v="511.63"/>
        <n v="596.75"/>
        <n v="4061.24"/>
        <n v="1883.17"/>
        <n v="229.06"/>
        <n v="2412.81"/>
        <n v="2379.64"/>
        <n v="6665.84"/>
        <n v="39107.2"/>
        <n v="1623.95"/>
        <n v="1938.43"/>
        <n v="3007.09"/>
        <n v="31415.46"/>
        <n v="2556.22"/>
        <n v="440.11"/>
        <n v="222.03"/>
        <n v="26839.62"/>
        <n v="19893.87"/>
        <n v="51984.14"/>
        <n v="1051.13"/>
        <n v="11841.11"/>
        <n v="6726.87"/>
        <n v="1435.2"/>
        <n v="2064.25"/>
        <n v="3170.38"/>
        <n v="12920.47"/>
        <n v="2242.81"/>
        <n v="23121.52"/>
        <n v="1178.19"/>
        <n v="5948.79"/>
        <n v="2745.19"/>
        <n v="95.01"/>
        <n v="17403.15"/>
        <n v="37.55"/>
        <n v="13829.42"/>
        <n v="494.88"/>
        <n v="118.86"/>
        <n v="2142.86"/>
        <n v="7203.77"/>
        <n v="6213.17"/>
        <n v="20581.69"/>
        <n v="3592.34"/>
        <n v="218.71"/>
        <n v="8230.93"/>
        <n v="758.62"/>
        <n v="4815.8"/>
        <n v="1090.2"/>
        <n v="6084.4"/>
        <n v="475.66"/>
        <n v="978.68"/>
        <n v="14268.0"/>
        <n v="8301.26"/>
        <n v="135.95"/>
        <n v="2297.53"/>
        <n v="135.37"/>
        <n v="11884.48"/>
        <n v="6139.2"/>
        <n v="3449.36"/>
        <n v="11100.43"/>
        <n v="1947.46"/>
        <n v="303.59"/>
        <n v="43.89"/>
        <n v="1588.24"/>
        <n v="491.31"/>
        <n v="68.92"/>
        <n v="585.63"/>
        <n v="20023.95"/>
        <n v="8575.89"/>
        <n v="6637.2"/>
        <n v="2832.67"/>
        <n v="10131.44"/>
        <n v="19688.45"/>
        <n v="720.27"/>
        <n v="10201.26"/>
        <n v="2567.38"/>
        <n v="11476.86"/>
        <n v="191.21"/>
        <n v="3716.15"/>
        <n v="1950.96"/>
        <n v="114.58"/>
        <n v="1409.03"/>
        <n v="11783.22"/>
        <n v="1571.34"/>
        <n v="373.92"/>
        <n v="459.47"/>
        <n v="356.25"/>
        <n v="4923.29"/>
        <n v="3660.59"/>
        <n v="896.74"/>
        <n v="61875.2"/>
        <n v="971.89"/>
        <n v="7495.06"/>
        <n v="107.82"/>
        <n v="309.12"/>
        <n v="8164.29"/>
        <n v="35459.21"/>
        <n v="55.17"/>
        <n v="3090.88"/>
        <n v="362.19"/>
        <n v="690.08"/>
        <n v="451.19"/>
        <n v="17087.85"/>
        <n v="23674.97"/>
        <n v="5624.87"/>
        <n v="15899.24"/>
        <n v="4685.77"/>
        <n v="5363.88"/>
        <n v="62307.89"/>
        <n v="6668.63"/>
        <n v="2555.03"/>
        <n v="518.24"/>
        <n v="12572.72"/>
        <n v="743.76"/>
        <n v="7942.98"/>
        <n v="398.24"/>
        <n v="6348.59"/>
        <n v="937.82"/>
        <n v="15019.66"/>
        <n v="1502.8"/>
        <n v="1563.12"/>
        <n v="352.68"/>
        <n v="26910.61"/>
        <n v="52692.65"/>
        <n v="46487.14"/>
        <n v="9666.59"/>
        <n v="1002.13"/>
        <n v="436.66"/>
        <n v="891.45"/>
        <n v="1739.17"/>
        <n v="2057.15"/>
        <n v="834.13"/>
        <n v="1176.36"/>
        <n v="59.34"/>
        <n v="1984.04"/>
        <n v="2514.76"/>
        <n v="32.45"/>
        <n v="268.71"/>
        <n v="492.65"/>
        <n v="17304.67"/>
        <n v="11582.21"/>
        <n v="10937.12"/>
        <n v="4271.86"/>
        <n v="3192.59"/>
        <n v="16995.08"/>
        <n v="1780.03"/>
        <n v="25044.35"/>
        <n v="186.85"/>
        <n v="3419.25"/>
        <n v="891.89"/>
        <n v="142.87"/>
        <n v="27041.41"/>
        <n v="2622.61"/>
        <n v="32803.33"/>
        <n v="1602.36"/>
        <n v="1738.37"/>
        <n v="5018.79"/>
        <n v="802.02"/>
        <n v="918.87"/>
        <n v="2410.46"/>
        <n v="130.9"/>
        <n v="20521.88"/>
        <n v="1611.01"/>
        <n v="37514.55"/>
        <n v="699.78"/>
        <n v="537.49"/>
        <n v="1243.7"/>
        <n v="38613.39"/>
        <n v="203.49"/>
        <n v="18389.06"/>
        <n v="9296.72"/>
        <n v="1879.85"/>
        <n v="1370.66"/>
        <n v="1654.44"/>
        <n v="774.51"/>
        <n v="25246.97"/>
        <n v="576.7"/>
        <n v="1362.55"/>
        <n v="1104.62"/>
        <n v="1846.26"/>
        <n v="14594.08"/>
        <n v="1896.43"/>
        <n v="451.99"/>
        <n v="54271.1"/>
        <n v="15234.96"/>
        <n v="67077.67"/>
        <n v="27805.8"/>
        <n v="539.75"/>
        <n v="29191.06"/>
        <n v="819.16"/>
        <n v="2011.47"/>
        <n v="1554.43"/>
        <n v="32682.68"/>
        <n v="23476.71"/>
        <n v="15128.71"/>
        <n v="9654.36"/>
        <n v="3517.29"/>
        <n v="2634.84"/>
        <n v="2603.09"/>
        <n v="138.2"/>
        <n v="41191.12"/>
        <n v="177.12"/>
        <n v="1427.35"/>
        <n v="11652.29"/>
        <n v="1820.43"/>
        <n v="34.41"/>
        <n v="1086.39"/>
        <n v="1249.91"/>
        <n v="47.06"/>
        <n v="4359.54"/>
        <n v="20227.93"/>
        <n v="262.44"/>
        <n v="447.1"/>
        <n v="652.26"/>
        <n v="543.41"/>
        <n v="18518.74"/>
        <n v="7241.17"/>
        <n v="29811.45"/>
        <n v="10260.54"/>
        <n v="896.21"/>
        <n v="2489.67"/>
        <n v="2323.8"/>
        <n v="8223.26"/>
        <n v="7533.34"/>
        <n v="1738.57"/>
        <n v="19398.6"/>
        <n v="15749.54"/>
        <n v="504.64"/>
        <n v="718.54"/>
        <n v="579.37"/>
        <n v="50844.4"/>
        <n v="5180.11"/>
        <n v="5520.13"/>
        <n v="15755.57"/>
        <n v="26644.3"/>
        <n v="1093.74"/>
        <n v="1288.39"/>
        <n v="9803.67"/>
        <n v="220.09"/>
        <n v="2650.64"/>
        <n v="7566.34"/>
        <n v="1937.82"/>
        <n v="73015.75"/>
        <n v="802.77"/>
        <n v="2006.74"/>
        <n v="3390.69"/>
        <n v="21226.72"/>
        <n v="37596.54"/>
        <n v="5055.26"/>
        <n v="278.68"/>
        <n v="4137.31"/>
        <n v="7330.28"/>
        <n v="31937.88"/>
        <n v="3391.46"/>
        <n v="508.43"/>
        <n v="199.13"/>
        <n v="7917.78"/>
        <n v="448.43"/>
        <n v="4500.94"/>
        <n v="43820.3"/>
        <n v="2105.86"/>
        <n v="51807.31"/>
        <n v="138.71"/>
        <n v="63116.44"/>
        <n v="18175.8"/>
        <n v="25823.61"/>
        <n v="77709.54"/>
        <n v="1869.36"/>
        <n v="69704.76"/>
        <n v="992.53"/>
        <n v="204.17"/>
        <n v="690.85"/>
        <n v="9221.0"/>
        <n v="865.38"/>
        <n v="870.75"/>
        <n v="604.04"/>
        <n v="2712.77"/>
        <n v="7361.07"/>
        <n v="8812.57"/>
        <n v="5572.28"/>
        <n v="1843.86"/>
        <n v="9822.02"/>
        <n v="2316.49"/>
        <n v="1183.31"/>
        <n v="601.27"/>
        <n v="742.09"/>
        <n v="4755.79"/>
        <n v="17168.44"/>
        <n v="43720.28"/>
        <n v="7213.66"/>
        <n v="65527.17"/>
        <n v="1381.12"/>
        <n v="49106.82"/>
        <n v="18908.85"/>
        <n v="8377.33"/>
        <n v="43355.16"/>
        <n v="15092.2"/>
        <n v="24150.93"/>
        <n v="1551.21"/>
        <n v="1873.14"/>
        <n v="18086.79"/>
        <n v="1274.97"/>
        <n v="1426.79"/>
        <n v="163.05"/>
        <n v="53119.82"/>
        <n v="7807.47"/>
        <n v="1257.75"/>
        <n v="659.44"/>
        <n v="81550.75"/>
        <n v="31796.93"/>
        <n v="3859.3"/>
        <n v="4371.42"/>
        <n v="303.74"/>
        <n v="24118.97"/>
        <n v="1550.39"/>
        <n v="14740.75"/>
        <n v="3542.77"/>
        <n v="2818.68"/>
        <n v="8567.64"/>
        <n v="6883.29"/>
        <n v="4353.34"/>
        <n v="1580.69"/>
        <n v="3234.49"/>
        <n v="159.96"/>
        <n v="49276.81"/>
        <n v="2363.73"/>
        <n v="143.48"/>
        <n v="310.62"/>
        <n v="398.09"/>
        <n v="29148.79"/>
        <n v="21531.2"/>
        <n v="4761.34"/>
        <n v="1149.23"/>
        <n v="11287.7"/>
        <n v="7390.25"/>
        <n v="31472.6"/>
        <n v="19979.29"/>
        <n v="4165.47"/>
        <n v="11468.59"/>
        <n v="1929.82"/>
        <n v="1714.27"/>
        <n v="25412.33"/>
        <n v="661.78"/>
        <n v="3864.23"/>
        <n v="146.81"/>
        <n v="1575.8"/>
        <n v="6081.11"/>
        <n v="8265.9"/>
        <n v="1551.97"/>
        <n v="20393.77"/>
        <n v="7215.74"/>
        <n v="8969.58"/>
        <n v="52766.24"/>
        <n v="18458.46"/>
        <n v="3683.3"/>
        <n v="6882.94"/>
        <n v="4722.59"/>
        <n v="16.77"/>
        <n v="300.23"/>
        <n v="60375.6"/>
        <n v="653.13"/>
        <n v="43559.52"/>
        <n v="498.76"/>
        <n v="1357.9"/>
        <n v="2040.19"/>
        <n v="1555.49"/>
        <n v="5782.36"/>
        <n v="21.28"/>
        <n v="1637.96"/>
        <n v="926.61"/>
        <n v="449.35"/>
        <n v="310.87"/>
        <n v="4162.52"/>
        <n v="2539.68"/>
        <n v="1164.9"/>
        <n v="2432.56"/>
        <n v="7309.57"/>
        <n v="988.07"/>
        <n v="30552.73"/>
        <n v="1331.4"/>
        <n v="1465.75"/>
        <n v="1220.24"/>
        <n v="1960.71"/>
        <n v="260.74"/>
        <n v="2098.74"/>
        <n v="24673.19"/>
        <n v="13572.94"/>
        <n v="1234.34"/>
        <n v="13851.14"/>
        <n v="17978.3"/>
        <n v="1368.51"/>
        <n v="837.15"/>
        <n v="1844.44"/>
        <n v="362.93"/>
        <n v="9430.95"/>
        <n v="4445.78"/>
        <n v="7310.79"/>
        <n v="5929.64"/>
        <n v="2380.88"/>
        <n v="33783.68"/>
        <n v="1819.37"/>
        <n v="1325.23"/>
        <n v="1230.24"/>
        <n v="27626.98"/>
        <n v="251.13"/>
        <n v="3769.81"/>
        <n v="23140.14"/>
        <n v="16682.69"/>
        <n v="4874.76"/>
        <n v="970.74"/>
        <n v="451.38"/>
        <n v="1110.51"/>
        <n v="4322.84"/>
        <n v="543.12"/>
        <n v="629.74"/>
        <n v="11278.53"/>
        <n v="802.11"/>
        <n v="2558.78"/>
        <n v="4610.79"/>
        <n v="258.34"/>
        <n v="1742.52"/>
        <n v="378.25"/>
        <n v="31528.28"/>
        <n v="2771.03"/>
        <n v="83506.08"/>
        <n v="1115.08"/>
        <n v="51945.71"/>
        <n v="12666.48"/>
        <n v="2885.62"/>
        <n v="25590.86"/>
        <n v="1202.97"/>
        <n v="5372.45"/>
        <n v="7062.05"/>
        <n v="68.06"/>
        <n v="978.39"/>
        <n v="2758.78"/>
        <n v="42077.93"/>
        <n v="744.57"/>
        <n v="4073.43"/>
        <n v="309.86"/>
        <n v="42296.68"/>
        <n v="679.7"/>
        <n v="13925.12"/>
        <n v="6493.79"/>
        <n v="799.35"/>
        <n v="56.72"/>
        <n v="1984.72"/>
        <n v="289.56"/>
        <n v="16685.66"/>
        <n v="22903.4"/>
        <n v="2024.97"/>
        <n v="2503.31"/>
        <n v="2856.5"/>
        <n v="982.75"/>
        <n v="8062.79"/>
        <n v="151.56"/>
        <n v="4297.33"/>
        <n v="156.39"/>
        <n v="30369.64"/>
        <n v="10768.78"/>
        <n v="270.5"/>
        <n v="2800.46"/>
        <n v="24104.66"/>
        <n v="187.92"/>
        <n v="1656.66"/>
        <n v="35131.6"/>
        <n v="2101.63"/>
        <n v="1836.86"/>
        <n v="7231.72"/>
        <n v="2807.22"/>
        <n v="14101.03"/>
        <n v="3857.51"/>
        <n v="19751.27"/>
        <n v="1224.84"/>
        <n v="2631.95"/>
        <n v="23291.43"/>
        <n v="781.58"/>
        <n v="853.08"/>
        <n v="3726.58"/>
        <n v="1646.18"/>
        <n v="30459.92"/>
        <n v="1625.28"/>
        <n v="1419.48"/>
        <n v="101135.6"/>
        <n v="154.52"/>
        <n v="34888.73"/>
        <n v="1139.59"/>
        <n v="1233.64"/>
        <n v="962.61"/>
        <n v="160.82"/>
        <n v="51747.39"/>
        <n v="541.47"/>
        <n v="8048.97"/>
        <n v="4585.35"/>
        <n v="17632.52"/>
        <n v="17727.61"/>
        <n v="18224.26"/>
        <n v="1915.06"/>
        <n v="2348.98"/>
        <n v="11042.6"/>
        <n v="4819.7"/>
        <n v="2609.88"/>
        <n v="5174.43"/>
        <n v="96249.78"/>
        <n v="4363.3"/>
        <n v="15684.67"/>
        <n v="2560.88"/>
        <n v="16850.16"/>
        <n v="3863.2"/>
        <n v="13487.57"/>
        <n v="38921.46"/>
        <n v="262.45"/>
        <n v="11198.56"/>
        <n v="1307.41"/>
        <n v="939.66"/>
        <n v="1571.83"/>
        <n v="39065.66"/>
        <n v="2146.23"/>
        <n v="901.28"/>
        <n v="300.3"/>
        <n v="49983.64"/>
        <n v="6113.63"/>
        <n v="1892.15"/>
        <n v="24917.12"/>
        <n v="12314.81"/>
        <n v="10400.59"/>
        <n v="71100.33"/>
        <n v="80909.99"/>
        <n v="7497.13"/>
        <n v="84.8"/>
        <n v="1175.02"/>
        <n v="18696.42"/>
        <n v="12136.52"/>
        <n v="711.33"/>
        <n v="4055.95"/>
        <n v="339.84"/>
        <n v="5274.2"/>
        <n v="1067.91"/>
        <n v="21306.74"/>
        <n v="1684.67"/>
        <n v="453.92"/>
        <n v="2418.53"/>
        <n v="680.25"/>
        <n v="232.64"/>
        <n v="42932.08"/>
        <n v="12916.1"/>
        <n v="972.18"/>
        <n v="62183.67"/>
        <n v="3934.75"/>
        <n v="813.45"/>
        <n v="2055.31"/>
        <n v="1054.88"/>
        <n v="8769.94"/>
        <n v="256.89"/>
        <n v="817.74"/>
        <n v="780.46"/>
        <n v="25423.21"/>
        <n v="36371.61"/>
        <n v="2245.55"/>
        <n v="20844.46"/>
        <n v="308.87"/>
        <n v="30094.58"/>
        <n v="24885.63"/>
        <n v="53264.0"/>
        <n v="841.97"/>
        <n v="4308.34"/>
        <n v="21382.62"/>
        <n v="3139.25"/>
        <n v="8178.29"/>
        <n v="1442.33"/>
        <n v="20997.5"/>
        <n v="31305.08"/>
        <n v="1371.32"/>
        <n v="20496.41"/>
        <n v="12571.6"/>
        <n v="1228.03"/>
        <n v="35215.72"/>
        <n v="530.32"/>
        <n v="446.65"/>
        <n v="12565.65"/>
        <n v="1400.11"/>
        <n v="597.46"/>
        <n v="2065.6"/>
        <n v="522.7"/>
        <n v="185.67"/>
        <n v="1102.7"/>
        <n v="7528.72"/>
        <n v="9607.88"/>
        <n v="339.08"/>
        <n v="3999.94"/>
        <n v="4565.78"/>
        <n v="1666.37"/>
        <n v="2751.74"/>
        <n v="1083.36"/>
        <n v="67956.42"/>
        <n v="40079.33"/>
        <n v="1516.02"/>
        <n v="1003.8"/>
        <n v="11397.52"/>
        <n v="205.72"/>
        <n v="1251.34"/>
        <n v="2742.25"/>
        <n v="5507.52"/>
        <n v="6314.3"/>
        <n v="2175.25"/>
        <n v="6987.25"/>
        <n v="2565.29"/>
        <n v="477.77"/>
        <n v="366.69"/>
        <n v="3789.62"/>
        <n v="1709.93"/>
        <n v="805.01"/>
        <n v="40369.7"/>
        <n v="630.51"/>
        <n v="3246.34"/>
        <n v="2669.57"/>
        <n v="532.76"/>
        <n v="1973.77"/>
        <n v="3490.25"/>
        <n v="2965.26"/>
        <n v="646.41"/>
        <n v="654.51"/>
        <n v="19462.68"/>
        <n v="18968.36"/>
        <n v="32373.53"/>
        <n v="44662.97"/>
        <n v="241.21"/>
        <n v="58989.93"/>
        <n v="546.85"/>
        <n v="1251.27"/>
        <n v="3370.32"/>
        <n v="501.75"/>
        <n v="3885.45"/>
        <n v="3009.05"/>
        <n v="40235.41"/>
        <n v="25822.54"/>
        <n v="8996.14"/>
        <n v="770.86"/>
        <n v="670.8"/>
        <n v="41.48"/>
        <n v="1013.97"/>
        <n v="13493.88"/>
        <n v="3630.89"/>
        <n v="7391.43"/>
        <n v="7520.77"/>
        <n v="2693.47"/>
        <n v="18610.05"/>
        <n v="21897.67"/>
        <n v="10773.77"/>
        <n v="16240.75"/>
        <n v="41184.09"/>
        <n v="1438.96"/>
        <n v="2402.66"/>
        <n v="8724.61"/>
        <n v="8058.53"/>
        <n v="15326.33"/>
        <n v="4380.51"/>
        <n v="303.33"/>
        <n v="10225.8"/>
        <n v="1077.69"/>
        <n v="543.95"/>
        <n v="66.2"/>
        <n v="21507.82"/>
        <n v="24619.05"/>
        <n v="1922.06"/>
        <n v="32315.03"/>
        <n v="14301.57"/>
        <n v="431.87"/>
        <n v="6195.37"/>
        <n v="1765.23"/>
        <n v="656.9"/>
        <n v="2534.57"/>
        <n v="8508.66"/>
        <n v="5713.28"/>
        <n v="2341.35"/>
        <n v="5610.96"/>
        <n v="4513.27"/>
        <n v="2189.4"/>
        <n v="62.48"/>
        <n v="1215.9"/>
        <n v="11691.52"/>
        <n v="1521.83"/>
        <n v="853.78"/>
        <n v="699.1"/>
        <n v="1261.95"/>
        <n v="2302.81"/>
        <n v="12433.46"/>
        <n v="9634.15"/>
        <n v="8154.38"/>
        <n v="605.62"/>
        <n v="15734.75"/>
        <n v="1299.8"/>
        <n v="628.02"/>
        <n v="1206.42"/>
        <n v="516.11"/>
        <n v="1460.06"/>
        <n v="9083.6"/>
        <n v="7958.62"/>
        <n v="26907.66"/>
        <n v="1120.89"/>
        <n v="21104.19"/>
        <n v="14880.94"/>
        <n v="2444.13"/>
        <n v="1794.48"/>
        <n v="2037.51"/>
        <n v="26452.33"/>
        <n v="100.78"/>
        <n v="16544.84"/>
        <n v="17325.37"/>
        <n v="1167.03"/>
        <n v="9389.94"/>
        <n v="1253.88"/>
        <n v="7030.4"/>
        <n v="21.07"/>
        <n v="793.21"/>
        <n v="6873.61"/>
        <n v="4165.28"/>
        <n v="19566.78"/>
        <n v="10923.21"/>
        <n v="2469.78"/>
        <n v="31006.52"/>
        <n v="1337.27"/>
        <n v="3156.77"/>
        <n v="2296.46"/>
        <n v="1976.46"/>
        <n v="502.77"/>
        <n v="8989.48"/>
        <n v="5373.84"/>
        <n v="1118.82"/>
        <n v="772.06"/>
        <n v="3792.83"/>
        <n v="7126.87"/>
        <n v="13.23"/>
        <n v="2711.27"/>
        <n v="4391.69"/>
        <n v="4690.83"/>
        <n v="27215.38"/>
        <n v="2627.26"/>
        <n v="114.53"/>
        <n v="2352.73"/>
        <n v="5572.09"/>
        <n v="893.04"/>
        <n v="1144.6"/>
        <n v="2988.32"/>
        <n v="403.43"/>
        <n v="18707.48"/>
        <n v="8993.8"/>
        <n v="35464.03"/>
        <n v="488.08"/>
        <n v="36087.61"/>
        <n v="70459.75"/>
        <n v="1822.75"/>
        <n v="1783.71"/>
        <n v="15772.41"/>
        <n v="767.63"/>
        <n v="9920.68"/>
        <n v="4847.5"/>
        <n v="619.58"/>
        <n v="772.58"/>
        <n v="2851.07"/>
        <n v="6479.33"/>
        <n v="771.31"/>
        <n v="6632.98"/>
        <n v="575.23"/>
        <n v="694.04"/>
        <n v="138.65"/>
        <n v="14548.35"/>
        <n v="315.01"/>
        <n v="96.43"/>
        <n v="2075.24"/>
        <n v="37289.17"/>
        <n v="4841.45"/>
        <n v="21097.6"/>
        <n v="2817.89"/>
        <n v="3891.34"/>
        <n v="2789.85"/>
        <n v="40467.73"/>
        <n v="438.03"/>
        <n v="5462.62"/>
        <n v="317.57"/>
        <n v="5804.81"/>
        <n v="2372.31"/>
        <n v="3498.98"/>
        <n v="40003.34"/>
        <n v="9992.79"/>
        <n v="1760.96"/>
        <n v="118.41"/>
        <n v="153.86"/>
        <n v="472.26"/>
        <n v="1189.81"/>
        <n v="3685.44"/>
        <n v="3957.7"/>
        <n v="1860.51"/>
        <n v="105.41"/>
        <n v="5533.9"/>
        <n v="11890.53"/>
        <n v="667.16"/>
        <n v="4605.04"/>
        <n v="4917.53"/>
        <n v="2438.22"/>
        <n v="1084.14"/>
        <n v="4022.65"/>
        <n v="21571.18"/>
        <n v="16668.5"/>
        <n v="1625.1"/>
        <n v="165.45"/>
        <n v="465.25"/>
        <n v="8523.31"/>
        <n v="13239.2"/>
        <n v="1785.62"/>
        <n v="3064.37"/>
        <n v="907.54"/>
        <n v="996.66"/>
        <n v="1141.12"/>
        <n v="1441.82"/>
        <n v="7138.25"/>
        <n v="527.58"/>
        <n v="1440.49"/>
        <n v="108.85"/>
        <n v="25088.71"/>
        <n v="10781.79"/>
        <n v="12649.06"/>
        <n v="547.97"/>
        <n v="12418.65"/>
        <n v="7789.57"/>
        <n v="53750.52"/>
        <n v="1786.28"/>
        <n v="5361.47"/>
        <n v="615.69"/>
        <n v="904.73"/>
        <n v="39554.6"/>
        <n v="858.51"/>
        <n v="960.72"/>
        <n v="302.34"/>
        <n v="29543.86"/>
        <n v="28.88"/>
        <n v="1488.47"/>
        <n v="717.49"/>
        <n v="16160.56"/>
        <n v="17519.71"/>
        <n v="22083.22"/>
        <n v="499.97"/>
        <n v="17537.46"/>
        <n v="4111.07"/>
        <n v="1653.22"/>
        <n v="3449.85"/>
        <n v="116.83"/>
        <n v="1069.36"/>
        <n v="3754.67"/>
        <n v="54450.53"/>
        <n v="416.18"/>
        <n v="1176.02"/>
      </sharedItems>
    </cacheField>
    <cacheField name="Month" numFmtId="0">
      <sharedItems>
        <s v="Jan-2025"/>
        <s v="Feb-2025"/>
        <s v="Mar-2025"/>
        <s v="Apr-2025"/>
        <s v="May-2025"/>
        <s v="Jun-2025"/>
        <s v="Jul-2025"/>
        <s v="Aug-2025"/>
        <s v="Sep-2025"/>
        <s v="Oct-2025"/>
        <s v="Nov-2025"/>
        <s v="Dec-202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onthly Profit" cacheId="0" dataCaption="" compact="0" compactData="0">
  <location ref="A1:B14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t="default"/>
      </items>
    </pivotField>
    <pivotField name="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t="default"/>
      </items>
    </pivotField>
    <pivotField name="Month" axis="axisRow" compact="0" outline="0" multipleItemSelectionAllowed="1" showAll="0" sortType="ascending">
      <items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</pivotFields>
  <rowFields>
    <field x="11"/>
  </rowFields>
  <dataFields>
    <dataField name="SUM of Profit" fld="10" baseField="0"/>
  </dataFields>
</pivotTableDefinition>
</file>

<file path=xl/pivotTables/pivotTable2.xml><?xml version="1.0" encoding="utf-8"?>
<pivotTableDefinition xmlns="http://schemas.openxmlformats.org/spreadsheetml/2006/main" name="Top Products" cacheId="0" dataCaption="" compact="0" compactData="0">
  <location ref="A1:B25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name="Produc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2"/>
  </rowFields>
  <dataFields>
    <dataField name="SUM of Sales" fld="8" baseField="0"/>
  </dataFields>
</pivotTableDefinition>
</file>

<file path=xl/pivotTables/pivotTable3.xml><?xml version="1.0" encoding="utf-8"?>
<pivotTableDefinition xmlns="http://schemas.openxmlformats.org/spreadsheetml/2006/main" name="Regional Performance" cacheId="0" dataCaption="" compact="0" compactData="0">
  <location ref="A1:B7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Region" axis="axisRow" compact="0" outline="0" multipleItemSelectionAllowed="1" showAll="0" sortType="ascending">
      <items>
        <item x="0"/>
        <item x="1"/>
        <item x="2"/>
        <item x="4"/>
        <item x="3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4"/>
  </rowFields>
  <dataFields>
    <dataField name="SUM of Sales" fld="8" baseField="0"/>
  </dataFields>
</pivotTableDefinition>
</file>

<file path=xl/pivotTables/pivotTable4.xml><?xml version="1.0" encoding="utf-8"?>
<pivotTableDefinition xmlns="http://schemas.openxmlformats.org/spreadsheetml/2006/main" name="Category Performance" cacheId="0" dataCaption="" compact="0" compactData="0">
  <location ref="A1:B6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ategory" axis="axisRow" compact="0" outline="0" multipleItemSelectionAllowed="1" showAll="0" sortType="ascending">
      <items>
        <item x="3"/>
        <item x="1"/>
        <item x="2"/>
        <item x="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3"/>
  </rowFields>
  <dataFields>
    <dataField name="SUM of Sales" fld="8" baseField="0"/>
  </dataFields>
</pivotTableDefinition>
</file>

<file path=xl/pivotTables/pivotTable5.xml><?xml version="1.0" encoding="utf-8"?>
<pivotTableDefinition xmlns="http://schemas.openxmlformats.org/spreadsheetml/2006/main" name="Monthly Sales" cacheId="0" dataCaption="" compact="0" compactData="0">
  <location ref="A1:B14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t="default"/>
      </items>
    </pivotField>
    <pivotField name="Month" axis="axisRow" compact="0" outline="0" multipleItemSelectionAllowed="1" showAll="0" sortType="ascending">
      <items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</pivotFields>
  <rowFields>
    <field x="11"/>
  </rowFields>
  <dataFields>
    <dataField name="SUM of Sales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1.0"/>
    <col customWidth="1" min="3" max="3" width="16.0"/>
    <col customWidth="1" min="4" max="4" width="17.0"/>
    <col customWidth="1" min="5" max="5" width="12.0"/>
    <col customWidth="1" min="6" max="6" width="14.0"/>
    <col customWidth="1" min="7" max="11" width="12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>
      <c r="A2" s="4" t="s">
        <v>12</v>
      </c>
      <c r="B2" s="5">
        <v>45658.0</v>
      </c>
      <c r="C2" s="4" t="s">
        <v>13</v>
      </c>
      <c r="D2" s="4" t="s">
        <v>14</v>
      </c>
      <c r="E2" s="4" t="s">
        <v>15</v>
      </c>
      <c r="F2" s="4" t="s">
        <v>16</v>
      </c>
      <c r="G2" s="4">
        <v>4.0</v>
      </c>
      <c r="H2" s="6">
        <v>971.69</v>
      </c>
      <c r="I2" s="6">
        <v>3886.76</v>
      </c>
      <c r="J2" s="6">
        <v>2909.63</v>
      </c>
      <c r="K2" s="6">
        <v>977.13</v>
      </c>
      <c r="L2" s="4" t="str">
        <f t="shared" ref="L2:L1201" si="1">TEXT(B2,"mmm-yyyy")</f>
        <v>Jan-2025</v>
      </c>
    </row>
    <row r="3">
      <c r="A3" s="4" t="s">
        <v>17</v>
      </c>
      <c r="B3" s="5">
        <v>45658.0</v>
      </c>
      <c r="C3" s="4" t="s">
        <v>18</v>
      </c>
      <c r="D3" s="4" t="s">
        <v>19</v>
      </c>
      <c r="E3" s="4" t="s">
        <v>20</v>
      </c>
      <c r="F3" s="4" t="s">
        <v>21</v>
      </c>
      <c r="G3" s="4">
        <v>2.0</v>
      </c>
      <c r="H3" s="6">
        <v>9573.29</v>
      </c>
      <c r="I3" s="6">
        <v>19146.58</v>
      </c>
      <c r="J3" s="6">
        <v>15423.08</v>
      </c>
      <c r="K3" s="6">
        <v>3723.5</v>
      </c>
      <c r="L3" s="4" t="str">
        <f t="shared" si="1"/>
        <v>Jan-2025</v>
      </c>
    </row>
    <row r="4">
      <c r="A4" s="4" t="s">
        <v>22</v>
      </c>
      <c r="B4" s="5">
        <v>45658.0</v>
      </c>
      <c r="C4" s="4" t="s">
        <v>23</v>
      </c>
      <c r="D4" s="4" t="s">
        <v>24</v>
      </c>
      <c r="E4" s="4" t="s">
        <v>25</v>
      </c>
      <c r="F4" s="4" t="s">
        <v>26</v>
      </c>
      <c r="G4" s="4">
        <v>3.0</v>
      </c>
      <c r="H4" s="6">
        <v>16197.32</v>
      </c>
      <c r="I4" s="6">
        <v>48591.96</v>
      </c>
      <c r="J4" s="6">
        <v>40637.79</v>
      </c>
      <c r="K4" s="6">
        <v>7954.17</v>
      </c>
      <c r="L4" s="4" t="str">
        <f t="shared" si="1"/>
        <v>Jan-2025</v>
      </c>
    </row>
    <row r="5">
      <c r="A5" s="4" t="s">
        <v>27</v>
      </c>
      <c r="B5" s="5">
        <v>45658.0</v>
      </c>
      <c r="C5" s="4" t="s">
        <v>28</v>
      </c>
      <c r="D5" s="4" t="s">
        <v>14</v>
      </c>
      <c r="E5" s="4" t="s">
        <v>29</v>
      </c>
      <c r="F5" s="4" t="s">
        <v>30</v>
      </c>
      <c r="G5" s="4">
        <v>5.0</v>
      </c>
      <c r="H5" s="6">
        <v>651.37</v>
      </c>
      <c r="I5" s="6">
        <v>3256.85</v>
      </c>
      <c r="J5" s="6">
        <v>2657.58</v>
      </c>
      <c r="K5" s="6">
        <v>599.27</v>
      </c>
      <c r="L5" s="4" t="str">
        <f t="shared" si="1"/>
        <v>Jan-2025</v>
      </c>
    </row>
    <row r="6">
      <c r="A6" s="4" t="s">
        <v>31</v>
      </c>
      <c r="B6" s="5">
        <v>45659.0</v>
      </c>
      <c r="C6" s="4" t="s">
        <v>32</v>
      </c>
      <c r="D6" s="4" t="s">
        <v>19</v>
      </c>
      <c r="E6" s="4" t="s">
        <v>29</v>
      </c>
      <c r="F6" s="4" t="s">
        <v>33</v>
      </c>
      <c r="G6" s="4">
        <v>1.0</v>
      </c>
      <c r="H6" s="6">
        <v>32729.48</v>
      </c>
      <c r="I6" s="6">
        <v>32729.48</v>
      </c>
      <c r="J6" s="6">
        <v>29032.21</v>
      </c>
      <c r="K6" s="6">
        <v>3697.27</v>
      </c>
      <c r="L6" s="4" t="str">
        <f t="shared" si="1"/>
        <v>Jan-2025</v>
      </c>
    </row>
    <row r="7">
      <c r="A7" s="4" t="s">
        <v>34</v>
      </c>
      <c r="B7" s="5">
        <v>45659.0</v>
      </c>
      <c r="C7" s="4" t="s">
        <v>35</v>
      </c>
      <c r="D7" s="4" t="s">
        <v>14</v>
      </c>
      <c r="E7" s="4" t="s">
        <v>29</v>
      </c>
      <c r="F7" s="4" t="s">
        <v>36</v>
      </c>
      <c r="G7" s="4">
        <v>5.0</v>
      </c>
      <c r="H7" s="6">
        <v>545.64</v>
      </c>
      <c r="I7" s="6">
        <v>2728.2</v>
      </c>
      <c r="J7" s="6">
        <v>2045.19</v>
      </c>
      <c r="K7" s="6">
        <v>683.01</v>
      </c>
      <c r="L7" s="4" t="str">
        <f t="shared" si="1"/>
        <v>Jan-2025</v>
      </c>
    </row>
    <row r="8">
      <c r="A8" s="4" t="s">
        <v>37</v>
      </c>
      <c r="B8" s="5">
        <v>45659.0</v>
      </c>
      <c r="C8" s="4" t="s">
        <v>38</v>
      </c>
      <c r="D8" s="4" t="s">
        <v>19</v>
      </c>
      <c r="E8" s="4" t="s">
        <v>20</v>
      </c>
      <c r="F8" s="4" t="s">
        <v>39</v>
      </c>
      <c r="G8" s="4">
        <v>5.0</v>
      </c>
      <c r="H8" s="6">
        <v>33982.32</v>
      </c>
      <c r="I8" s="6">
        <v>169911.6</v>
      </c>
      <c r="J8" s="6">
        <v>139399.12</v>
      </c>
      <c r="K8" s="6">
        <v>30512.48</v>
      </c>
      <c r="L8" s="4" t="str">
        <f t="shared" si="1"/>
        <v>Jan-2025</v>
      </c>
    </row>
    <row r="9">
      <c r="A9" s="4" t="s">
        <v>40</v>
      </c>
      <c r="B9" s="5">
        <v>45659.0</v>
      </c>
      <c r="C9" s="4" t="s">
        <v>41</v>
      </c>
      <c r="D9" s="4" t="s">
        <v>42</v>
      </c>
      <c r="E9" s="4" t="s">
        <v>29</v>
      </c>
      <c r="F9" s="4" t="s">
        <v>43</v>
      </c>
      <c r="G9" s="4">
        <v>6.0</v>
      </c>
      <c r="H9" s="6">
        <v>3931.02</v>
      </c>
      <c r="I9" s="6">
        <v>23586.12</v>
      </c>
      <c r="J9" s="6">
        <v>19865.23</v>
      </c>
      <c r="K9" s="6">
        <v>3720.89</v>
      </c>
      <c r="L9" s="4" t="str">
        <f t="shared" si="1"/>
        <v>Jan-2025</v>
      </c>
    </row>
    <row r="10">
      <c r="A10" s="4" t="s">
        <v>44</v>
      </c>
      <c r="B10" s="5">
        <v>45660.0</v>
      </c>
      <c r="C10" s="4" t="s">
        <v>38</v>
      </c>
      <c r="D10" s="4" t="s">
        <v>19</v>
      </c>
      <c r="E10" s="4" t="s">
        <v>29</v>
      </c>
      <c r="F10" s="4" t="s">
        <v>45</v>
      </c>
      <c r="G10" s="4">
        <v>7.0</v>
      </c>
      <c r="H10" s="6">
        <v>34493.97</v>
      </c>
      <c r="I10" s="6">
        <v>241457.79</v>
      </c>
      <c r="J10" s="6">
        <v>200859.45</v>
      </c>
      <c r="K10" s="6">
        <v>40598.34</v>
      </c>
      <c r="L10" s="4" t="str">
        <f t="shared" si="1"/>
        <v>Jan-2025</v>
      </c>
    </row>
    <row r="11">
      <c r="A11" s="4" t="s">
        <v>46</v>
      </c>
      <c r="B11" s="5">
        <v>45661.0</v>
      </c>
      <c r="C11" s="4" t="s">
        <v>47</v>
      </c>
      <c r="D11" s="4" t="s">
        <v>14</v>
      </c>
      <c r="E11" s="4" t="s">
        <v>25</v>
      </c>
      <c r="F11" s="4" t="s">
        <v>48</v>
      </c>
      <c r="G11" s="4">
        <v>3.0</v>
      </c>
      <c r="H11" s="6">
        <v>1046.04</v>
      </c>
      <c r="I11" s="6">
        <v>3138.12</v>
      </c>
      <c r="J11" s="6">
        <v>2506.87</v>
      </c>
      <c r="K11" s="6">
        <v>631.25</v>
      </c>
      <c r="L11" s="4" t="str">
        <f t="shared" si="1"/>
        <v>Jan-2025</v>
      </c>
    </row>
    <row r="12">
      <c r="A12" s="4" t="s">
        <v>49</v>
      </c>
      <c r="B12" s="5">
        <v>45661.0</v>
      </c>
      <c r="C12" s="4" t="s">
        <v>50</v>
      </c>
      <c r="D12" s="4" t="s">
        <v>42</v>
      </c>
      <c r="E12" s="4" t="s">
        <v>29</v>
      </c>
      <c r="F12" s="4" t="s">
        <v>51</v>
      </c>
      <c r="G12" s="4">
        <v>2.0</v>
      </c>
      <c r="H12" s="6">
        <v>3207.13</v>
      </c>
      <c r="I12" s="6">
        <v>6414.26</v>
      </c>
      <c r="J12" s="6">
        <v>5220.9</v>
      </c>
      <c r="K12" s="6">
        <v>1193.36</v>
      </c>
      <c r="L12" s="4" t="str">
        <f t="shared" si="1"/>
        <v>Jan-2025</v>
      </c>
    </row>
    <row r="13">
      <c r="A13" s="4" t="s">
        <v>52</v>
      </c>
      <c r="B13" s="5">
        <v>45661.0</v>
      </c>
      <c r="C13" s="4" t="s">
        <v>35</v>
      </c>
      <c r="D13" s="4" t="s">
        <v>14</v>
      </c>
      <c r="E13" s="4" t="s">
        <v>20</v>
      </c>
      <c r="F13" s="4" t="s">
        <v>53</v>
      </c>
      <c r="G13" s="4">
        <v>1.0</v>
      </c>
      <c r="H13" s="6">
        <v>721.78</v>
      </c>
      <c r="I13" s="6">
        <v>721.78</v>
      </c>
      <c r="J13" s="6">
        <v>499.28</v>
      </c>
      <c r="K13" s="6">
        <v>222.5</v>
      </c>
      <c r="L13" s="4" t="str">
        <f t="shared" si="1"/>
        <v>Jan-2025</v>
      </c>
    </row>
    <row r="14">
      <c r="A14" s="4" t="s">
        <v>54</v>
      </c>
      <c r="B14" s="5">
        <v>45661.0</v>
      </c>
      <c r="C14" s="4" t="s">
        <v>32</v>
      </c>
      <c r="D14" s="4" t="s">
        <v>19</v>
      </c>
      <c r="E14" s="4" t="s">
        <v>25</v>
      </c>
      <c r="F14" s="4" t="s">
        <v>55</v>
      </c>
      <c r="G14" s="4">
        <v>6.0</v>
      </c>
      <c r="H14" s="6">
        <v>4810.33</v>
      </c>
      <c r="I14" s="6">
        <v>28861.98</v>
      </c>
      <c r="J14" s="6">
        <v>24969.43</v>
      </c>
      <c r="K14" s="6">
        <v>3892.55</v>
      </c>
      <c r="L14" s="4" t="str">
        <f t="shared" si="1"/>
        <v>Jan-2025</v>
      </c>
    </row>
    <row r="15">
      <c r="A15" s="4" t="s">
        <v>56</v>
      </c>
      <c r="B15" s="5">
        <v>45661.0</v>
      </c>
      <c r="C15" s="4" t="s">
        <v>13</v>
      </c>
      <c r="D15" s="4" t="s">
        <v>14</v>
      </c>
      <c r="E15" s="4" t="s">
        <v>20</v>
      </c>
      <c r="F15" s="4" t="s">
        <v>57</v>
      </c>
      <c r="G15" s="4">
        <v>2.0</v>
      </c>
      <c r="H15" s="6">
        <v>122.22</v>
      </c>
      <c r="I15" s="6">
        <v>244.44</v>
      </c>
      <c r="J15" s="6">
        <v>192.45</v>
      </c>
      <c r="K15" s="6">
        <v>51.99</v>
      </c>
      <c r="L15" s="4" t="str">
        <f t="shared" si="1"/>
        <v>Jan-2025</v>
      </c>
    </row>
    <row r="16">
      <c r="A16" s="4" t="s">
        <v>58</v>
      </c>
      <c r="B16" s="5">
        <v>45661.0</v>
      </c>
      <c r="C16" s="4" t="s">
        <v>13</v>
      </c>
      <c r="D16" s="4" t="s">
        <v>14</v>
      </c>
      <c r="E16" s="4" t="s">
        <v>29</v>
      </c>
      <c r="F16" s="4" t="s">
        <v>59</v>
      </c>
      <c r="G16" s="4">
        <v>1.0</v>
      </c>
      <c r="H16" s="6">
        <v>1119.89</v>
      </c>
      <c r="I16" s="6">
        <v>1119.89</v>
      </c>
      <c r="J16" s="6">
        <v>785.01</v>
      </c>
      <c r="K16" s="6">
        <v>334.88</v>
      </c>
      <c r="L16" s="4" t="str">
        <f t="shared" si="1"/>
        <v>Jan-2025</v>
      </c>
    </row>
    <row r="17">
      <c r="A17" s="4" t="s">
        <v>60</v>
      </c>
      <c r="B17" s="5">
        <v>45661.0</v>
      </c>
      <c r="C17" s="4" t="s">
        <v>61</v>
      </c>
      <c r="D17" s="4" t="s">
        <v>19</v>
      </c>
      <c r="E17" s="4" t="s">
        <v>15</v>
      </c>
      <c r="F17" s="4" t="s">
        <v>62</v>
      </c>
      <c r="G17" s="4">
        <v>5.0</v>
      </c>
      <c r="H17" s="6">
        <v>54371.15</v>
      </c>
      <c r="I17" s="6">
        <v>271855.75</v>
      </c>
      <c r="J17" s="6">
        <v>221990.6</v>
      </c>
      <c r="K17" s="6">
        <v>49865.15</v>
      </c>
      <c r="L17" s="4" t="str">
        <f t="shared" si="1"/>
        <v>Jan-2025</v>
      </c>
    </row>
    <row r="18">
      <c r="A18" s="4" t="s">
        <v>63</v>
      </c>
      <c r="B18" s="5">
        <v>45662.0</v>
      </c>
      <c r="C18" s="4" t="s">
        <v>32</v>
      </c>
      <c r="D18" s="4" t="s">
        <v>19</v>
      </c>
      <c r="E18" s="4" t="s">
        <v>20</v>
      </c>
      <c r="F18" s="4" t="s">
        <v>64</v>
      </c>
      <c r="G18" s="4">
        <v>2.0</v>
      </c>
      <c r="H18" s="6">
        <v>24865.2</v>
      </c>
      <c r="I18" s="6">
        <v>49730.4</v>
      </c>
      <c r="J18" s="6">
        <v>40069.91</v>
      </c>
      <c r="K18" s="6">
        <v>9660.49</v>
      </c>
      <c r="L18" s="4" t="str">
        <f t="shared" si="1"/>
        <v>Jan-2025</v>
      </c>
    </row>
    <row r="19">
      <c r="A19" s="4" t="s">
        <v>65</v>
      </c>
      <c r="B19" s="5">
        <v>45662.0</v>
      </c>
      <c r="C19" s="4" t="s">
        <v>66</v>
      </c>
      <c r="D19" s="4" t="s">
        <v>42</v>
      </c>
      <c r="E19" s="4" t="s">
        <v>25</v>
      </c>
      <c r="F19" s="4" t="s">
        <v>67</v>
      </c>
      <c r="G19" s="4">
        <v>3.0</v>
      </c>
      <c r="H19" s="6">
        <v>556.79</v>
      </c>
      <c r="I19" s="6">
        <v>1670.37</v>
      </c>
      <c r="J19" s="6">
        <v>1276.68</v>
      </c>
      <c r="K19" s="6">
        <v>393.69</v>
      </c>
      <c r="L19" s="4" t="str">
        <f t="shared" si="1"/>
        <v>Jan-2025</v>
      </c>
    </row>
    <row r="20">
      <c r="A20" s="4" t="s">
        <v>68</v>
      </c>
      <c r="B20" s="5">
        <v>45663.0</v>
      </c>
      <c r="C20" s="4" t="s">
        <v>69</v>
      </c>
      <c r="D20" s="4" t="s">
        <v>19</v>
      </c>
      <c r="E20" s="4" t="s">
        <v>25</v>
      </c>
      <c r="F20" s="4" t="s">
        <v>70</v>
      </c>
      <c r="G20" s="4">
        <v>4.0</v>
      </c>
      <c r="H20" s="6">
        <v>67407.46</v>
      </c>
      <c r="I20" s="6">
        <v>269629.84</v>
      </c>
      <c r="J20" s="6">
        <v>226240.5</v>
      </c>
      <c r="K20" s="6">
        <v>43389.34</v>
      </c>
      <c r="L20" s="4" t="str">
        <f t="shared" si="1"/>
        <v>Jan-2025</v>
      </c>
    </row>
    <row r="21" ht="15.75" customHeight="1">
      <c r="A21" s="4" t="s">
        <v>71</v>
      </c>
      <c r="B21" s="5">
        <v>45664.0</v>
      </c>
      <c r="C21" s="4" t="s">
        <v>72</v>
      </c>
      <c r="D21" s="4" t="s">
        <v>24</v>
      </c>
      <c r="E21" s="4" t="s">
        <v>25</v>
      </c>
      <c r="F21" s="4" t="s">
        <v>73</v>
      </c>
      <c r="G21" s="4">
        <v>6.0</v>
      </c>
      <c r="H21" s="6">
        <v>10572.24</v>
      </c>
      <c r="I21" s="6">
        <v>63433.44</v>
      </c>
      <c r="J21" s="6">
        <v>49092.33</v>
      </c>
      <c r="K21" s="6">
        <v>14341.11</v>
      </c>
      <c r="L21" s="4" t="str">
        <f t="shared" si="1"/>
        <v>Jan-2025</v>
      </c>
    </row>
    <row r="22" ht="15.75" customHeight="1">
      <c r="A22" s="4" t="s">
        <v>74</v>
      </c>
      <c r="B22" s="5">
        <v>45664.0</v>
      </c>
      <c r="C22" s="4" t="s">
        <v>75</v>
      </c>
      <c r="D22" s="4" t="s">
        <v>24</v>
      </c>
      <c r="E22" s="4" t="s">
        <v>15</v>
      </c>
      <c r="F22" s="4" t="s">
        <v>76</v>
      </c>
      <c r="G22" s="4">
        <v>2.0</v>
      </c>
      <c r="H22" s="6">
        <v>4119.16</v>
      </c>
      <c r="I22" s="6">
        <v>8238.32</v>
      </c>
      <c r="J22" s="6">
        <v>6903.75</v>
      </c>
      <c r="K22" s="6">
        <v>1334.57</v>
      </c>
      <c r="L22" s="4" t="str">
        <f t="shared" si="1"/>
        <v>Jan-2025</v>
      </c>
    </row>
    <row r="23" ht="15.75" customHeight="1">
      <c r="A23" s="4" t="s">
        <v>77</v>
      </c>
      <c r="B23" s="5">
        <v>45664.0</v>
      </c>
      <c r="C23" s="4" t="s">
        <v>13</v>
      </c>
      <c r="D23" s="4" t="s">
        <v>14</v>
      </c>
      <c r="E23" s="4" t="s">
        <v>25</v>
      </c>
      <c r="F23" s="4" t="s">
        <v>78</v>
      </c>
      <c r="G23" s="4">
        <v>5.0</v>
      </c>
      <c r="H23" s="6">
        <v>853.44</v>
      </c>
      <c r="I23" s="6">
        <v>4267.2</v>
      </c>
      <c r="J23" s="6">
        <v>3015.48</v>
      </c>
      <c r="K23" s="6">
        <v>1251.72</v>
      </c>
      <c r="L23" s="4" t="str">
        <f t="shared" si="1"/>
        <v>Jan-2025</v>
      </c>
    </row>
    <row r="24" ht="15.75" customHeight="1">
      <c r="A24" s="4" t="s">
        <v>79</v>
      </c>
      <c r="B24" s="5">
        <v>45665.0</v>
      </c>
      <c r="C24" s="4" t="s">
        <v>61</v>
      </c>
      <c r="D24" s="4" t="s">
        <v>19</v>
      </c>
      <c r="E24" s="4" t="s">
        <v>15</v>
      </c>
      <c r="F24" s="4" t="s">
        <v>80</v>
      </c>
      <c r="G24" s="4">
        <v>7.0</v>
      </c>
      <c r="H24" s="6">
        <v>17946.2</v>
      </c>
      <c r="I24" s="6">
        <v>125623.4</v>
      </c>
      <c r="J24" s="6">
        <v>102045.61</v>
      </c>
      <c r="K24" s="6">
        <v>23577.79</v>
      </c>
      <c r="L24" s="4" t="str">
        <f t="shared" si="1"/>
        <v>Jan-2025</v>
      </c>
    </row>
    <row r="25" ht="15.75" customHeight="1">
      <c r="A25" s="4" t="s">
        <v>81</v>
      </c>
      <c r="B25" s="5">
        <v>45665.0</v>
      </c>
      <c r="C25" s="4" t="s">
        <v>38</v>
      </c>
      <c r="D25" s="4" t="s">
        <v>19</v>
      </c>
      <c r="E25" s="4" t="s">
        <v>25</v>
      </c>
      <c r="F25" s="4" t="s">
        <v>82</v>
      </c>
      <c r="G25" s="4">
        <v>2.0</v>
      </c>
      <c r="H25" s="6">
        <v>24771.87</v>
      </c>
      <c r="I25" s="6">
        <v>49543.74</v>
      </c>
      <c r="J25" s="6">
        <v>40592.35</v>
      </c>
      <c r="K25" s="6">
        <v>8951.39</v>
      </c>
      <c r="L25" s="4" t="str">
        <f t="shared" si="1"/>
        <v>Jan-2025</v>
      </c>
    </row>
    <row r="26" ht="15.75" customHeight="1">
      <c r="A26" s="4" t="s">
        <v>83</v>
      </c>
      <c r="B26" s="5">
        <v>45665.0</v>
      </c>
      <c r="C26" s="4" t="s">
        <v>41</v>
      </c>
      <c r="D26" s="4" t="s">
        <v>42</v>
      </c>
      <c r="E26" s="4" t="s">
        <v>25</v>
      </c>
      <c r="F26" s="4" t="s">
        <v>84</v>
      </c>
      <c r="G26" s="4">
        <v>3.0</v>
      </c>
      <c r="H26" s="6">
        <v>1618.25</v>
      </c>
      <c r="I26" s="6">
        <v>4854.75</v>
      </c>
      <c r="J26" s="6">
        <v>4261.24</v>
      </c>
      <c r="K26" s="6">
        <v>593.51</v>
      </c>
      <c r="L26" s="4" t="str">
        <f t="shared" si="1"/>
        <v>Jan-2025</v>
      </c>
    </row>
    <row r="27" ht="15.75" customHeight="1">
      <c r="A27" s="4" t="s">
        <v>85</v>
      </c>
      <c r="B27" s="5">
        <v>45665.0</v>
      </c>
      <c r="C27" s="4" t="s">
        <v>47</v>
      </c>
      <c r="D27" s="4" t="s">
        <v>14</v>
      </c>
      <c r="E27" s="4" t="s">
        <v>25</v>
      </c>
      <c r="F27" s="4" t="s">
        <v>86</v>
      </c>
      <c r="G27" s="4">
        <v>3.0</v>
      </c>
      <c r="H27" s="6">
        <v>578.77</v>
      </c>
      <c r="I27" s="6">
        <v>1736.31</v>
      </c>
      <c r="J27" s="6">
        <v>1440.57</v>
      </c>
      <c r="K27" s="6">
        <v>295.74</v>
      </c>
      <c r="L27" s="4" t="str">
        <f t="shared" si="1"/>
        <v>Jan-2025</v>
      </c>
    </row>
    <row r="28" ht="15.75" customHeight="1">
      <c r="A28" s="4" t="s">
        <v>87</v>
      </c>
      <c r="B28" s="5">
        <v>45665.0</v>
      </c>
      <c r="C28" s="4" t="s">
        <v>61</v>
      </c>
      <c r="D28" s="4" t="s">
        <v>19</v>
      </c>
      <c r="E28" s="4" t="s">
        <v>29</v>
      </c>
      <c r="F28" s="4" t="s">
        <v>88</v>
      </c>
      <c r="G28" s="4">
        <v>6.0</v>
      </c>
      <c r="H28" s="6">
        <v>14412.58</v>
      </c>
      <c r="I28" s="6">
        <v>86475.48</v>
      </c>
      <c r="J28" s="6">
        <v>71687.44</v>
      </c>
      <c r="K28" s="6">
        <v>14788.04</v>
      </c>
      <c r="L28" s="4" t="str">
        <f t="shared" si="1"/>
        <v>Jan-2025</v>
      </c>
    </row>
    <row r="29" ht="15.75" customHeight="1">
      <c r="A29" s="4" t="s">
        <v>89</v>
      </c>
      <c r="B29" s="5">
        <v>45665.0</v>
      </c>
      <c r="C29" s="4" t="s">
        <v>32</v>
      </c>
      <c r="D29" s="4" t="s">
        <v>19</v>
      </c>
      <c r="E29" s="4" t="s">
        <v>15</v>
      </c>
      <c r="F29" s="4" t="s">
        <v>90</v>
      </c>
      <c r="G29" s="4">
        <v>1.0</v>
      </c>
      <c r="H29" s="6">
        <v>49928.7</v>
      </c>
      <c r="I29" s="6">
        <v>49928.7</v>
      </c>
      <c r="J29" s="6">
        <v>40466.62</v>
      </c>
      <c r="K29" s="6">
        <v>9462.08</v>
      </c>
      <c r="L29" s="4" t="str">
        <f t="shared" si="1"/>
        <v>Jan-2025</v>
      </c>
    </row>
    <row r="30" ht="15.75" customHeight="1">
      <c r="A30" s="4" t="s">
        <v>91</v>
      </c>
      <c r="B30" s="5">
        <v>45666.0</v>
      </c>
      <c r="C30" s="4" t="s">
        <v>92</v>
      </c>
      <c r="D30" s="4" t="s">
        <v>14</v>
      </c>
      <c r="E30" s="4" t="s">
        <v>25</v>
      </c>
      <c r="F30" s="4" t="s">
        <v>93</v>
      </c>
      <c r="G30" s="4">
        <v>5.0</v>
      </c>
      <c r="H30" s="6">
        <v>151.05</v>
      </c>
      <c r="I30" s="6">
        <v>755.25</v>
      </c>
      <c r="J30" s="6">
        <v>558.71</v>
      </c>
      <c r="K30" s="6">
        <v>196.54</v>
      </c>
      <c r="L30" s="4" t="str">
        <f t="shared" si="1"/>
        <v>Jan-2025</v>
      </c>
    </row>
    <row r="31" ht="15.75" customHeight="1">
      <c r="A31" s="4" t="s">
        <v>94</v>
      </c>
      <c r="B31" s="5">
        <v>45666.0</v>
      </c>
      <c r="C31" s="4" t="s">
        <v>66</v>
      </c>
      <c r="D31" s="4" t="s">
        <v>42</v>
      </c>
      <c r="E31" s="4" t="s">
        <v>25</v>
      </c>
      <c r="F31" s="4" t="s">
        <v>95</v>
      </c>
      <c r="G31" s="4">
        <v>1.0</v>
      </c>
      <c r="H31" s="6">
        <v>2844.12</v>
      </c>
      <c r="I31" s="6">
        <v>2844.12</v>
      </c>
      <c r="J31" s="6">
        <v>2448.89</v>
      </c>
      <c r="K31" s="6">
        <v>395.23</v>
      </c>
      <c r="L31" s="4" t="str">
        <f t="shared" si="1"/>
        <v>Jan-2025</v>
      </c>
    </row>
    <row r="32" ht="15.75" customHeight="1">
      <c r="A32" s="4" t="s">
        <v>96</v>
      </c>
      <c r="B32" s="5">
        <v>45667.0</v>
      </c>
      <c r="C32" s="4" t="s">
        <v>75</v>
      </c>
      <c r="D32" s="4" t="s">
        <v>24</v>
      </c>
      <c r="E32" s="4" t="s">
        <v>29</v>
      </c>
      <c r="F32" s="4" t="s">
        <v>97</v>
      </c>
      <c r="G32" s="4">
        <v>5.0</v>
      </c>
      <c r="H32" s="6">
        <v>6174.91</v>
      </c>
      <c r="I32" s="6">
        <v>30874.55</v>
      </c>
      <c r="J32" s="6">
        <v>26912.37</v>
      </c>
      <c r="K32" s="6">
        <v>3962.18</v>
      </c>
      <c r="L32" s="4" t="str">
        <f t="shared" si="1"/>
        <v>Jan-2025</v>
      </c>
    </row>
    <row r="33" ht="15.75" customHeight="1">
      <c r="A33" s="4" t="s">
        <v>98</v>
      </c>
      <c r="B33" s="5">
        <v>45667.0</v>
      </c>
      <c r="C33" s="4" t="s">
        <v>92</v>
      </c>
      <c r="D33" s="4" t="s">
        <v>14</v>
      </c>
      <c r="E33" s="4" t="s">
        <v>25</v>
      </c>
      <c r="F33" s="4" t="s">
        <v>99</v>
      </c>
      <c r="G33" s="4">
        <v>2.0</v>
      </c>
      <c r="H33" s="6">
        <v>375.69</v>
      </c>
      <c r="I33" s="6">
        <v>751.38</v>
      </c>
      <c r="J33" s="6">
        <v>582.55</v>
      </c>
      <c r="K33" s="6">
        <v>168.83</v>
      </c>
      <c r="L33" s="4" t="str">
        <f t="shared" si="1"/>
        <v>Jan-2025</v>
      </c>
    </row>
    <row r="34" ht="15.75" customHeight="1">
      <c r="A34" s="4" t="s">
        <v>100</v>
      </c>
      <c r="B34" s="5">
        <v>45667.0</v>
      </c>
      <c r="C34" s="4" t="s">
        <v>75</v>
      </c>
      <c r="D34" s="4" t="s">
        <v>24</v>
      </c>
      <c r="E34" s="4" t="s">
        <v>20</v>
      </c>
      <c r="F34" s="4" t="s">
        <v>55</v>
      </c>
      <c r="G34" s="4">
        <v>2.0</v>
      </c>
      <c r="H34" s="6">
        <v>15266.87</v>
      </c>
      <c r="I34" s="6">
        <v>30533.74</v>
      </c>
      <c r="J34" s="6">
        <v>23071.51</v>
      </c>
      <c r="K34" s="6">
        <v>7462.23</v>
      </c>
      <c r="L34" s="4" t="str">
        <f t="shared" si="1"/>
        <v>Jan-2025</v>
      </c>
    </row>
    <row r="35" ht="15.75" customHeight="1">
      <c r="A35" s="4" t="s">
        <v>101</v>
      </c>
      <c r="B35" s="5">
        <v>45667.0</v>
      </c>
      <c r="C35" s="4" t="s">
        <v>102</v>
      </c>
      <c r="D35" s="4" t="s">
        <v>24</v>
      </c>
      <c r="E35" s="4" t="s">
        <v>29</v>
      </c>
      <c r="F35" s="4" t="s">
        <v>103</v>
      </c>
      <c r="G35" s="4">
        <v>6.0</v>
      </c>
      <c r="H35" s="6">
        <v>4264.21</v>
      </c>
      <c r="I35" s="6">
        <v>25585.26</v>
      </c>
      <c r="J35" s="6">
        <v>20313.58</v>
      </c>
      <c r="K35" s="6">
        <v>5271.68</v>
      </c>
      <c r="L35" s="4" t="str">
        <f t="shared" si="1"/>
        <v>Jan-2025</v>
      </c>
    </row>
    <row r="36" ht="15.75" customHeight="1">
      <c r="A36" s="4" t="s">
        <v>104</v>
      </c>
      <c r="B36" s="5">
        <v>45667.0</v>
      </c>
      <c r="C36" s="4" t="s">
        <v>66</v>
      </c>
      <c r="D36" s="4" t="s">
        <v>42</v>
      </c>
      <c r="E36" s="4" t="s">
        <v>29</v>
      </c>
      <c r="F36" s="4" t="s">
        <v>105</v>
      </c>
      <c r="G36" s="4">
        <v>6.0</v>
      </c>
      <c r="H36" s="6">
        <v>3156.73</v>
      </c>
      <c r="I36" s="6">
        <v>18940.38</v>
      </c>
      <c r="J36" s="6">
        <v>15471.75</v>
      </c>
      <c r="K36" s="6">
        <v>3468.63</v>
      </c>
      <c r="L36" s="4" t="str">
        <f t="shared" si="1"/>
        <v>Jan-2025</v>
      </c>
    </row>
    <row r="37" ht="15.75" customHeight="1">
      <c r="A37" s="4" t="s">
        <v>106</v>
      </c>
      <c r="B37" s="5">
        <v>45667.0</v>
      </c>
      <c r="C37" s="4" t="s">
        <v>35</v>
      </c>
      <c r="D37" s="4" t="s">
        <v>14</v>
      </c>
      <c r="E37" s="4" t="s">
        <v>29</v>
      </c>
      <c r="F37" s="4" t="s">
        <v>107</v>
      </c>
      <c r="G37" s="4">
        <v>6.0</v>
      </c>
      <c r="H37" s="6">
        <v>694.37</v>
      </c>
      <c r="I37" s="6">
        <v>4166.22</v>
      </c>
      <c r="J37" s="6">
        <v>3538.89</v>
      </c>
      <c r="K37" s="6">
        <v>627.33</v>
      </c>
      <c r="L37" s="4" t="str">
        <f t="shared" si="1"/>
        <v>Jan-2025</v>
      </c>
    </row>
    <row r="38" ht="15.75" customHeight="1">
      <c r="A38" s="4" t="s">
        <v>108</v>
      </c>
      <c r="B38" s="5">
        <v>45667.0</v>
      </c>
      <c r="C38" s="4" t="s">
        <v>109</v>
      </c>
      <c r="D38" s="4" t="s">
        <v>42</v>
      </c>
      <c r="E38" s="4" t="s">
        <v>29</v>
      </c>
      <c r="F38" s="4" t="s">
        <v>110</v>
      </c>
      <c r="G38" s="4">
        <v>6.0</v>
      </c>
      <c r="H38" s="6">
        <v>1718.2</v>
      </c>
      <c r="I38" s="6">
        <v>10309.2</v>
      </c>
      <c r="J38" s="6">
        <v>9231.86</v>
      </c>
      <c r="K38" s="6">
        <v>1077.34</v>
      </c>
      <c r="L38" s="4" t="str">
        <f t="shared" si="1"/>
        <v>Jan-2025</v>
      </c>
    </row>
    <row r="39" ht="15.75" customHeight="1">
      <c r="A39" s="4" t="s">
        <v>111</v>
      </c>
      <c r="B39" s="5">
        <v>45668.0</v>
      </c>
      <c r="C39" s="4" t="s">
        <v>66</v>
      </c>
      <c r="D39" s="4" t="s">
        <v>42</v>
      </c>
      <c r="E39" s="4" t="s">
        <v>29</v>
      </c>
      <c r="F39" s="4" t="s">
        <v>64</v>
      </c>
      <c r="G39" s="4">
        <v>2.0</v>
      </c>
      <c r="H39" s="6">
        <v>1469.46</v>
      </c>
      <c r="I39" s="6">
        <v>2938.92</v>
      </c>
      <c r="J39" s="6">
        <v>2232.68</v>
      </c>
      <c r="K39" s="6">
        <v>706.24</v>
      </c>
      <c r="L39" s="4" t="str">
        <f t="shared" si="1"/>
        <v>Jan-2025</v>
      </c>
    </row>
    <row r="40" ht="15.75" customHeight="1">
      <c r="A40" s="4" t="s">
        <v>112</v>
      </c>
      <c r="B40" s="5">
        <v>45669.0</v>
      </c>
      <c r="C40" s="4" t="s">
        <v>102</v>
      </c>
      <c r="D40" s="4" t="s">
        <v>24</v>
      </c>
      <c r="E40" s="4" t="s">
        <v>25</v>
      </c>
      <c r="F40" s="4" t="s">
        <v>51</v>
      </c>
      <c r="G40" s="4">
        <v>3.0</v>
      </c>
      <c r="H40" s="6">
        <v>14637.72</v>
      </c>
      <c r="I40" s="6">
        <v>43913.16</v>
      </c>
      <c r="J40" s="6">
        <v>37055.13</v>
      </c>
      <c r="K40" s="6">
        <v>6858.03</v>
      </c>
      <c r="L40" s="4" t="str">
        <f t="shared" si="1"/>
        <v>Jan-2025</v>
      </c>
    </row>
    <row r="41" ht="15.75" customHeight="1">
      <c r="A41" s="4" t="s">
        <v>113</v>
      </c>
      <c r="B41" s="5">
        <v>45669.0</v>
      </c>
      <c r="C41" s="4" t="s">
        <v>38</v>
      </c>
      <c r="D41" s="4" t="s">
        <v>19</v>
      </c>
      <c r="E41" s="4" t="s">
        <v>29</v>
      </c>
      <c r="F41" s="4" t="s">
        <v>114</v>
      </c>
      <c r="G41" s="4">
        <v>1.0</v>
      </c>
      <c r="H41" s="6">
        <v>3587.41</v>
      </c>
      <c r="I41" s="6">
        <v>3587.41</v>
      </c>
      <c r="J41" s="6">
        <v>2991.68</v>
      </c>
      <c r="K41" s="6">
        <v>595.73</v>
      </c>
      <c r="L41" s="4" t="str">
        <f t="shared" si="1"/>
        <v>Jan-2025</v>
      </c>
    </row>
    <row r="42" ht="15.75" customHeight="1">
      <c r="A42" s="4" t="s">
        <v>115</v>
      </c>
      <c r="B42" s="5">
        <v>45669.0</v>
      </c>
      <c r="C42" s="4" t="s">
        <v>28</v>
      </c>
      <c r="D42" s="4" t="s">
        <v>14</v>
      </c>
      <c r="E42" s="4" t="s">
        <v>29</v>
      </c>
      <c r="F42" s="4" t="s">
        <v>116</v>
      </c>
      <c r="G42" s="4">
        <v>2.0</v>
      </c>
      <c r="H42" s="6">
        <v>832.61</v>
      </c>
      <c r="I42" s="6">
        <v>1665.22</v>
      </c>
      <c r="J42" s="6">
        <v>1264.7</v>
      </c>
      <c r="K42" s="6">
        <v>400.52</v>
      </c>
      <c r="L42" s="4" t="str">
        <f t="shared" si="1"/>
        <v>Jan-2025</v>
      </c>
    </row>
    <row r="43" ht="15.75" customHeight="1">
      <c r="A43" s="4" t="s">
        <v>117</v>
      </c>
      <c r="B43" s="5">
        <v>45669.0</v>
      </c>
      <c r="C43" s="4" t="s">
        <v>61</v>
      </c>
      <c r="D43" s="4" t="s">
        <v>19</v>
      </c>
      <c r="E43" s="4" t="s">
        <v>20</v>
      </c>
      <c r="F43" s="4" t="s">
        <v>48</v>
      </c>
      <c r="G43" s="4">
        <v>2.0</v>
      </c>
      <c r="H43" s="6">
        <v>10353.13</v>
      </c>
      <c r="I43" s="6">
        <v>20706.26</v>
      </c>
      <c r="J43" s="6">
        <v>18229.54</v>
      </c>
      <c r="K43" s="6">
        <v>2476.72</v>
      </c>
      <c r="L43" s="4" t="str">
        <f t="shared" si="1"/>
        <v>Jan-2025</v>
      </c>
    </row>
    <row r="44" ht="15.75" customHeight="1">
      <c r="A44" s="4" t="s">
        <v>118</v>
      </c>
      <c r="B44" s="5">
        <v>45669.0</v>
      </c>
      <c r="C44" s="4" t="s">
        <v>72</v>
      </c>
      <c r="D44" s="4" t="s">
        <v>24</v>
      </c>
      <c r="E44" s="4" t="s">
        <v>29</v>
      </c>
      <c r="F44" s="4" t="s">
        <v>119</v>
      </c>
      <c r="G44" s="4">
        <v>3.0</v>
      </c>
      <c r="H44" s="6">
        <v>8704.29</v>
      </c>
      <c r="I44" s="6">
        <v>26112.87</v>
      </c>
      <c r="J44" s="6">
        <v>20959.62</v>
      </c>
      <c r="K44" s="6">
        <v>5153.25</v>
      </c>
      <c r="L44" s="4" t="str">
        <f t="shared" si="1"/>
        <v>Jan-2025</v>
      </c>
    </row>
    <row r="45" ht="15.75" customHeight="1">
      <c r="A45" s="4" t="s">
        <v>120</v>
      </c>
      <c r="B45" s="5">
        <v>45669.0</v>
      </c>
      <c r="C45" s="4" t="s">
        <v>35</v>
      </c>
      <c r="D45" s="4" t="s">
        <v>14</v>
      </c>
      <c r="E45" s="4" t="s">
        <v>29</v>
      </c>
      <c r="F45" s="4" t="s">
        <v>121</v>
      </c>
      <c r="G45" s="4">
        <v>2.0</v>
      </c>
      <c r="H45" s="6">
        <v>316.49</v>
      </c>
      <c r="I45" s="6">
        <v>632.98</v>
      </c>
      <c r="J45" s="6">
        <v>535.37</v>
      </c>
      <c r="K45" s="6">
        <v>97.61</v>
      </c>
      <c r="L45" s="4" t="str">
        <f t="shared" si="1"/>
        <v>Jan-2025</v>
      </c>
    </row>
    <row r="46" ht="15.75" customHeight="1">
      <c r="A46" s="4" t="s">
        <v>122</v>
      </c>
      <c r="B46" s="5">
        <v>45670.0</v>
      </c>
      <c r="C46" s="4" t="s">
        <v>47</v>
      </c>
      <c r="D46" s="4" t="s">
        <v>14</v>
      </c>
      <c r="E46" s="4" t="s">
        <v>20</v>
      </c>
      <c r="F46" s="4" t="s">
        <v>123</v>
      </c>
      <c r="G46" s="4">
        <v>5.0</v>
      </c>
      <c r="H46" s="6">
        <v>1453.56</v>
      </c>
      <c r="I46" s="6">
        <v>7267.8</v>
      </c>
      <c r="J46" s="6">
        <v>5502.55</v>
      </c>
      <c r="K46" s="6">
        <v>1765.25</v>
      </c>
      <c r="L46" s="4" t="str">
        <f t="shared" si="1"/>
        <v>Jan-2025</v>
      </c>
    </row>
    <row r="47" ht="15.75" customHeight="1">
      <c r="A47" s="4" t="s">
        <v>124</v>
      </c>
      <c r="B47" s="5">
        <v>45670.0</v>
      </c>
      <c r="C47" s="4" t="s">
        <v>61</v>
      </c>
      <c r="D47" s="4" t="s">
        <v>19</v>
      </c>
      <c r="E47" s="4" t="s">
        <v>25</v>
      </c>
      <c r="F47" s="4" t="s">
        <v>125</v>
      </c>
      <c r="G47" s="4">
        <v>4.0</v>
      </c>
      <c r="H47" s="6">
        <v>16145.89</v>
      </c>
      <c r="I47" s="6">
        <v>64583.56</v>
      </c>
      <c r="J47" s="6">
        <v>55507.33</v>
      </c>
      <c r="K47" s="6">
        <v>9076.23</v>
      </c>
      <c r="L47" s="4" t="str">
        <f t="shared" si="1"/>
        <v>Jan-2025</v>
      </c>
    </row>
    <row r="48" ht="15.75" customHeight="1">
      <c r="A48" s="4" t="s">
        <v>126</v>
      </c>
      <c r="B48" s="5">
        <v>45671.0</v>
      </c>
      <c r="C48" s="4" t="s">
        <v>61</v>
      </c>
      <c r="D48" s="4" t="s">
        <v>19</v>
      </c>
      <c r="E48" s="4" t="s">
        <v>15</v>
      </c>
      <c r="F48" s="4" t="s">
        <v>127</v>
      </c>
      <c r="G48" s="4">
        <v>2.0</v>
      </c>
      <c r="H48" s="6">
        <v>68383.16</v>
      </c>
      <c r="I48" s="6">
        <v>136766.32</v>
      </c>
      <c r="J48" s="6">
        <v>110343.45</v>
      </c>
      <c r="K48" s="6">
        <v>26422.87</v>
      </c>
      <c r="L48" s="4" t="str">
        <f t="shared" si="1"/>
        <v>Jan-2025</v>
      </c>
    </row>
    <row r="49" ht="15.75" customHeight="1">
      <c r="A49" s="4" t="s">
        <v>128</v>
      </c>
      <c r="B49" s="5">
        <v>45671.0</v>
      </c>
      <c r="C49" s="4" t="s">
        <v>13</v>
      </c>
      <c r="D49" s="4" t="s">
        <v>14</v>
      </c>
      <c r="E49" s="4" t="s">
        <v>20</v>
      </c>
      <c r="F49" s="4" t="s">
        <v>129</v>
      </c>
      <c r="G49" s="4">
        <v>1.0</v>
      </c>
      <c r="H49" s="6">
        <v>698.98</v>
      </c>
      <c r="I49" s="6">
        <v>698.98</v>
      </c>
      <c r="J49" s="6">
        <v>538.55</v>
      </c>
      <c r="K49" s="6">
        <v>160.43</v>
      </c>
      <c r="L49" s="4" t="str">
        <f t="shared" si="1"/>
        <v>Jan-2025</v>
      </c>
    </row>
    <row r="50" ht="15.75" customHeight="1">
      <c r="A50" s="4" t="s">
        <v>130</v>
      </c>
      <c r="B50" s="5">
        <v>45671.0</v>
      </c>
      <c r="C50" s="4" t="s">
        <v>41</v>
      </c>
      <c r="D50" s="4" t="s">
        <v>42</v>
      </c>
      <c r="E50" s="4" t="s">
        <v>20</v>
      </c>
      <c r="F50" s="4" t="s">
        <v>131</v>
      </c>
      <c r="G50" s="4">
        <v>4.0</v>
      </c>
      <c r="H50" s="6">
        <v>4107.28</v>
      </c>
      <c r="I50" s="6">
        <v>16429.12</v>
      </c>
      <c r="J50" s="6">
        <v>14159.72</v>
      </c>
      <c r="K50" s="6">
        <v>2269.4</v>
      </c>
      <c r="L50" s="4" t="str">
        <f t="shared" si="1"/>
        <v>Jan-2025</v>
      </c>
    </row>
    <row r="51" ht="15.75" customHeight="1">
      <c r="A51" s="4" t="s">
        <v>132</v>
      </c>
      <c r="B51" s="5">
        <v>45671.0</v>
      </c>
      <c r="C51" s="4" t="s">
        <v>35</v>
      </c>
      <c r="D51" s="4" t="s">
        <v>14</v>
      </c>
      <c r="E51" s="4" t="s">
        <v>29</v>
      </c>
      <c r="F51" s="4" t="s">
        <v>133</v>
      </c>
      <c r="G51" s="4">
        <v>7.0</v>
      </c>
      <c r="H51" s="6">
        <v>648.9</v>
      </c>
      <c r="I51" s="6">
        <v>4542.3</v>
      </c>
      <c r="J51" s="6">
        <v>3785.75</v>
      </c>
      <c r="K51" s="6">
        <v>756.55</v>
      </c>
      <c r="L51" s="4" t="str">
        <f t="shared" si="1"/>
        <v>Jan-2025</v>
      </c>
    </row>
    <row r="52" ht="15.75" customHeight="1">
      <c r="A52" s="4" t="s">
        <v>134</v>
      </c>
      <c r="B52" s="5">
        <v>45671.0</v>
      </c>
      <c r="C52" s="4" t="s">
        <v>28</v>
      </c>
      <c r="D52" s="4" t="s">
        <v>14</v>
      </c>
      <c r="E52" s="4" t="s">
        <v>20</v>
      </c>
      <c r="F52" s="4" t="s">
        <v>135</v>
      </c>
      <c r="G52" s="4">
        <v>5.0</v>
      </c>
      <c r="H52" s="6">
        <v>83.2</v>
      </c>
      <c r="I52" s="6">
        <v>416.0</v>
      </c>
      <c r="J52" s="6">
        <v>285.9</v>
      </c>
      <c r="K52" s="6">
        <v>130.1</v>
      </c>
      <c r="L52" s="4" t="str">
        <f t="shared" si="1"/>
        <v>Jan-2025</v>
      </c>
    </row>
    <row r="53" ht="15.75" customHeight="1">
      <c r="A53" s="4" t="s">
        <v>136</v>
      </c>
      <c r="B53" s="5">
        <v>45672.0</v>
      </c>
      <c r="C53" s="4" t="s">
        <v>50</v>
      </c>
      <c r="D53" s="4" t="s">
        <v>42</v>
      </c>
      <c r="E53" s="4" t="s">
        <v>25</v>
      </c>
      <c r="F53" s="4" t="s">
        <v>84</v>
      </c>
      <c r="G53" s="4">
        <v>5.0</v>
      </c>
      <c r="H53" s="6">
        <v>4375.55</v>
      </c>
      <c r="I53" s="6">
        <v>21877.75</v>
      </c>
      <c r="J53" s="6">
        <v>19388.55</v>
      </c>
      <c r="K53" s="6">
        <v>2489.2</v>
      </c>
      <c r="L53" s="4" t="str">
        <f t="shared" si="1"/>
        <v>Jan-2025</v>
      </c>
    </row>
    <row r="54" ht="15.75" customHeight="1">
      <c r="A54" s="4" t="s">
        <v>137</v>
      </c>
      <c r="B54" s="5">
        <v>45673.0</v>
      </c>
      <c r="C54" s="4" t="s">
        <v>66</v>
      </c>
      <c r="D54" s="4" t="s">
        <v>42</v>
      </c>
      <c r="E54" s="4" t="s">
        <v>29</v>
      </c>
      <c r="F54" s="4" t="s">
        <v>138</v>
      </c>
      <c r="G54" s="4">
        <v>7.0</v>
      </c>
      <c r="H54" s="6">
        <v>2921.34</v>
      </c>
      <c r="I54" s="6">
        <v>20449.38</v>
      </c>
      <c r="J54" s="6">
        <v>17172.29</v>
      </c>
      <c r="K54" s="6">
        <v>3277.09</v>
      </c>
      <c r="L54" s="4" t="str">
        <f t="shared" si="1"/>
        <v>Jan-2025</v>
      </c>
    </row>
    <row r="55" ht="15.75" customHeight="1">
      <c r="A55" s="4" t="s">
        <v>139</v>
      </c>
      <c r="B55" s="5">
        <v>45673.0</v>
      </c>
      <c r="C55" s="4" t="s">
        <v>140</v>
      </c>
      <c r="D55" s="4" t="s">
        <v>14</v>
      </c>
      <c r="E55" s="4" t="s">
        <v>20</v>
      </c>
      <c r="F55" s="4" t="s">
        <v>141</v>
      </c>
      <c r="G55" s="4">
        <v>3.0</v>
      </c>
      <c r="H55" s="6">
        <v>1420.01</v>
      </c>
      <c r="I55" s="6">
        <v>4260.03</v>
      </c>
      <c r="J55" s="6">
        <v>3291.54</v>
      </c>
      <c r="K55" s="6">
        <v>968.49</v>
      </c>
      <c r="L55" s="4" t="str">
        <f t="shared" si="1"/>
        <v>Jan-2025</v>
      </c>
    </row>
    <row r="56" ht="15.75" customHeight="1">
      <c r="A56" s="4" t="s">
        <v>142</v>
      </c>
      <c r="B56" s="5">
        <v>45673.0</v>
      </c>
      <c r="C56" s="4" t="s">
        <v>23</v>
      </c>
      <c r="D56" s="4" t="s">
        <v>24</v>
      </c>
      <c r="E56" s="4" t="s">
        <v>15</v>
      </c>
      <c r="F56" s="4" t="s">
        <v>143</v>
      </c>
      <c r="G56" s="4">
        <v>5.0</v>
      </c>
      <c r="H56" s="6">
        <v>17975.1</v>
      </c>
      <c r="I56" s="6">
        <v>89875.5</v>
      </c>
      <c r="J56" s="6">
        <v>67079.56</v>
      </c>
      <c r="K56" s="6">
        <v>22795.94</v>
      </c>
      <c r="L56" s="4" t="str">
        <f t="shared" si="1"/>
        <v>Jan-2025</v>
      </c>
    </row>
    <row r="57" ht="15.75" customHeight="1">
      <c r="A57" s="4" t="s">
        <v>144</v>
      </c>
      <c r="B57" s="5">
        <v>45673.0</v>
      </c>
      <c r="C57" s="4" t="s">
        <v>140</v>
      </c>
      <c r="D57" s="4" t="s">
        <v>14</v>
      </c>
      <c r="E57" s="4" t="s">
        <v>25</v>
      </c>
      <c r="F57" s="4" t="s">
        <v>145</v>
      </c>
      <c r="G57" s="4">
        <v>4.0</v>
      </c>
      <c r="H57" s="6">
        <v>1441.19</v>
      </c>
      <c r="I57" s="6">
        <v>5764.76</v>
      </c>
      <c r="J57" s="6">
        <v>4164.24</v>
      </c>
      <c r="K57" s="6">
        <v>1600.52</v>
      </c>
      <c r="L57" s="4" t="str">
        <f t="shared" si="1"/>
        <v>Jan-2025</v>
      </c>
    </row>
    <row r="58" ht="15.75" customHeight="1">
      <c r="A58" s="4" t="s">
        <v>146</v>
      </c>
      <c r="B58" s="5">
        <v>45673.0</v>
      </c>
      <c r="C58" s="4" t="s">
        <v>72</v>
      </c>
      <c r="D58" s="4" t="s">
        <v>24</v>
      </c>
      <c r="E58" s="4" t="s">
        <v>15</v>
      </c>
      <c r="F58" s="4" t="s">
        <v>147</v>
      </c>
      <c r="G58" s="4">
        <v>4.0</v>
      </c>
      <c r="H58" s="6">
        <v>5863.93</v>
      </c>
      <c r="I58" s="6">
        <v>23455.72</v>
      </c>
      <c r="J58" s="6">
        <v>19407.22</v>
      </c>
      <c r="K58" s="6">
        <v>4048.5</v>
      </c>
      <c r="L58" s="4" t="str">
        <f t="shared" si="1"/>
        <v>Jan-2025</v>
      </c>
    </row>
    <row r="59" ht="15.75" customHeight="1">
      <c r="A59" s="4" t="s">
        <v>148</v>
      </c>
      <c r="B59" s="5">
        <v>45674.0</v>
      </c>
      <c r="C59" s="4" t="s">
        <v>69</v>
      </c>
      <c r="D59" s="4" t="s">
        <v>19</v>
      </c>
      <c r="E59" s="4" t="s">
        <v>29</v>
      </c>
      <c r="F59" s="4" t="s">
        <v>125</v>
      </c>
      <c r="G59" s="4">
        <v>6.0</v>
      </c>
      <c r="H59" s="6">
        <v>70682.78</v>
      </c>
      <c r="I59" s="6">
        <v>424096.68</v>
      </c>
      <c r="J59" s="6">
        <v>359443.43</v>
      </c>
      <c r="K59" s="6">
        <v>64653.25</v>
      </c>
      <c r="L59" s="4" t="str">
        <f t="shared" si="1"/>
        <v>Jan-2025</v>
      </c>
    </row>
    <row r="60" ht="15.75" customHeight="1">
      <c r="A60" s="4" t="s">
        <v>149</v>
      </c>
      <c r="B60" s="5">
        <v>45674.0</v>
      </c>
      <c r="C60" s="4" t="s">
        <v>72</v>
      </c>
      <c r="D60" s="4" t="s">
        <v>24</v>
      </c>
      <c r="E60" s="4" t="s">
        <v>20</v>
      </c>
      <c r="F60" s="4" t="s">
        <v>150</v>
      </c>
      <c r="G60" s="4">
        <v>5.0</v>
      </c>
      <c r="H60" s="6">
        <v>13931.06</v>
      </c>
      <c r="I60" s="6">
        <v>69655.3</v>
      </c>
      <c r="J60" s="6">
        <v>52681.84</v>
      </c>
      <c r="K60" s="6">
        <v>16973.46</v>
      </c>
      <c r="L60" s="4" t="str">
        <f t="shared" si="1"/>
        <v>Jan-2025</v>
      </c>
    </row>
    <row r="61" ht="15.75" customHeight="1">
      <c r="A61" s="4" t="s">
        <v>151</v>
      </c>
      <c r="B61" s="5">
        <v>45674.0</v>
      </c>
      <c r="C61" s="4" t="s">
        <v>35</v>
      </c>
      <c r="D61" s="4" t="s">
        <v>14</v>
      </c>
      <c r="E61" s="4" t="s">
        <v>29</v>
      </c>
      <c r="F61" s="4" t="s">
        <v>127</v>
      </c>
      <c r="G61" s="4">
        <v>3.0</v>
      </c>
      <c r="H61" s="6">
        <v>297.17</v>
      </c>
      <c r="I61" s="6">
        <v>891.51</v>
      </c>
      <c r="J61" s="6">
        <v>692.34</v>
      </c>
      <c r="K61" s="6">
        <v>199.17</v>
      </c>
      <c r="L61" s="4" t="str">
        <f t="shared" si="1"/>
        <v>Jan-2025</v>
      </c>
    </row>
    <row r="62" ht="15.75" customHeight="1">
      <c r="A62" s="4" t="s">
        <v>152</v>
      </c>
      <c r="B62" s="5">
        <v>45674.0</v>
      </c>
      <c r="C62" s="4" t="s">
        <v>61</v>
      </c>
      <c r="D62" s="4" t="s">
        <v>19</v>
      </c>
      <c r="E62" s="4" t="s">
        <v>20</v>
      </c>
      <c r="F62" s="4" t="s">
        <v>153</v>
      </c>
      <c r="G62" s="4">
        <v>1.0</v>
      </c>
      <c r="H62" s="6">
        <v>70493.11</v>
      </c>
      <c r="I62" s="6">
        <v>70493.11</v>
      </c>
      <c r="J62" s="6">
        <v>64837.32</v>
      </c>
      <c r="K62" s="6">
        <v>5655.79</v>
      </c>
      <c r="L62" s="4" t="str">
        <f t="shared" si="1"/>
        <v>Jan-2025</v>
      </c>
    </row>
    <row r="63" ht="15.75" customHeight="1">
      <c r="A63" s="4" t="s">
        <v>154</v>
      </c>
      <c r="B63" s="5">
        <v>45674.0</v>
      </c>
      <c r="C63" s="4" t="s">
        <v>155</v>
      </c>
      <c r="D63" s="4" t="s">
        <v>24</v>
      </c>
      <c r="E63" s="4" t="s">
        <v>20</v>
      </c>
      <c r="F63" s="4" t="s">
        <v>156</v>
      </c>
      <c r="G63" s="4">
        <v>6.0</v>
      </c>
      <c r="H63" s="6">
        <v>11275.79</v>
      </c>
      <c r="I63" s="6">
        <v>67654.74</v>
      </c>
      <c r="J63" s="6">
        <v>51394.62</v>
      </c>
      <c r="K63" s="6">
        <v>16260.12</v>
      </c>
      <c r="L63" s="4" t="str">
        <f t="shared" si="1"/>
        <v>Jan-2025</v>
      </c>
    </row>
    <row r="64" ht="15.75" customHeight="1">
      <c r="A64" s="4" t="s">
        <v>157</v>
      </c>
      <c r="B64" s="5">
        <v>45674.0</v>
      </c>
      <c r="C64" s="4" t="s">
        <v>61</v>
      </c>
      <c r="D64" s="4" t="s">
        <v>19</v>
      </c>
      <c r="E64" s="4" t="s">
        <v>29</v>
      </c>
      <c r="F64" s="4" t="s">
        <v>158</v>
      </c>
      <c r="G64" s="4">
        <v>6.0</v>
      </c>
      <c r="H64" s="6">
        <v>71581.5</v>
      </c>
      <c r="I64" s="6">
        <v>429489.0</v>
      </c>
      <c r="J64" s="6">
        <v>347978.98</v>
      </c>
      <c r="K64" s="6">
        <v>81510.02</v>
      </c>
      <c r="L64" s="4" t="str">
        <f t="shared" si="1"/>
        <v>Jan-2025</v>
      </c>
    </row>
    <row r="65" ht="15.75" customHeight="1">
      <c r="A65" s="4" t="s">
        <v>159</v>
      </c>
      <c r="B65" s="5">
        <v>45674.0</v>
      </c>
      <c r="C65" s="4" t="s">
        <v>160</v>
      </c>
      <c r="D65" s="4" t="s">
        <v>42</v>
      </c>
      <c r="E65" s="4" t="s">
        <v>15</v>
      </c>
      <c r="F65" s="4" t="s">
        <v>39</v>
      </c>
      <c r="G65" s="4">
        <v>5.0</v>
      </c>
      <c r="H65" s="6">
        <v>606.5</v>
      </c>
      <c r="I65" s="6">
        <v>3032.5</v>
      </c>
      <c r="J65" s="6">
        <v>2628.61</v>
      </c>
      <c r="K65" s="6">
        <v>403.89</v>
      </c>
      <c r="L65" s="4" t="str">
        <f t="shared" si="1"/>
        <v>Jan-2025</v>
      </c>
    </row>
    <row r="66" ht="15.75" customHeight="1">
      <c r="A66" s="4" t="s">
        <v>161</v>
      </c>
      <c r="B66" s="5">
        <v>45674.0</v>
      </c>
      <c r="C66" s="4" t="s">
        <v>102</v>
      </c>
      <c r="D66" s="4" t="s">
        <v>24</v>
      </c>
      <c r="E66" s="4" t="s">
        <v>25</v>
      </c>
      <c r="F66" s="4" t="s">
        <v>162</v>
      </c>
      <c r="G66" s="4">
        <v>7.0</v>
      </c>
      <c r="H66" s="6">
        <v>17472.81</v>
      </c>
      <c r="I66" s="6">
        <v>122309.67</v>
      </c>
      <c r="J66" s="6">
        <v>92886.78</v>
      </c>
      <c r="K66" s="6">
        <v>29422.89</v>
      </c>
      <c r="L66" s="4" t="str">
        <f t="shared" si="1"/>
        <v>Jan-2025</v>
      </c>
    </row>
    <row r="67" ht="15.75" customHeight="1">
      <c r="A67" s="4" t="s">
        <v>163</v>
      </c>
      <c r="B67" s="5">
        <v>45676.0</v>
      </c>
      <c r="C67" s="4" t="s">
        <v>69</v>
      </c>
      <c r="D67" s="4" t="s">
        <v>19</v>
      </c>
      <c r="E67" s="4" t="s">
        <v>25</v>
      </c>
      <c r="F67" s="4" t="s">
        <v>45</v>
      </c>
      <c r="G67" s="4">
        <v>1.0</v>
      </c>
      <c r="H67" s="6">
        <v>14603.73</v>
      </c>
      <c r="I67" s="6">
        <v>14603.73</v>
      </c>
      <c r="J67" s="6">
        <v>11797.7</v>
      </c>
      <c r="K67" s="6">
        <v>2806.03</v>
      </c>
      <c r="L67" s="4" t="str">
        <f t="shared" si="1"/>
        <v>Jan-2025</v>
      </c>
    </row>
    <row r="68" ht="15.75" customHeight="1">
      <c r="A68" s="4" t="s">
        <v>164</v>
      </c>
      <c r="B68" s="5">
        <v>45677.0</v>
      </c>
      <c r="C68" s="4" t="s">
        <v>140</v>
      </c>
      <c r="D68" s="4" t="s">
        <v>14</v>
      </c>
      <c r="E68" s="4" t="s">
        <v>25</v>
      </c>
      <c r="F68" s="4" t="s">
        <v>165</v>
      </c>
      <c r="G68" s="4">
        <v>3.0</v>
      </c>
      <c r="H68" s="6">
        <v>1001.79</v>
      </c>
      <c r="I68" s="6">
        <v>3005.37</v>
      </c>
      <c r="J68" s="6">
        <v>2189.39</v>
      </c>
      <c r="K68" s="6">
        <v>815.98</v>
      </c>
      <c r="L68" s="4" t="str">
        <f t="shared" si="1"/>
        <v>Jan-2025</v>
      </c>
    </row>
    <row r="69" ht="15.75" customHeight="1">
      <c r="A69" s="4" t="s">
        <v>166</v>
      </c>
      <c r="B69" s="5">
        <v>45677.0</v>
      </c>
      <c r="C69" s="4" t="s">
        <v>47</v>
      </c>
      <c r="D69" s="4" t="s">
        <v>14</v>
      </c>
      <c r="E69" s="4" t="s">
        <v>25</v>
      </c>
      <c r="F69" s="4" t="s">
        <v>167</v>
      </c>
      <c r="G69" s="4">
        <v>4.0</v>
      </c>
      <c r="H69" s="6">
        <v>1284.6</v>
      </c>
      <c r="I69" s="6">
        <v>5138.4</v>
      </c>
      <c r="J69" s="6">
        <v>3841.29</v>
      </c>
      <c r="K69" s="6">
        <v>1297.11</v>
      </c>
      <c r="L69" s="4" t="str">
        <f t="shared" si="1"/>
        <v>Jan-2025</v>
      </c>
    </row>
    <row r="70" ht="15.75" customHeight="1">
      <c r="A70" s="4" t="s">
        <v>168</v>
      </c>
      <c r="B70" s="5">
        <v>45678.0</v>
      </c>
      <c r="C70" s="4" t="s">
        <v>160</v>
      </c>
      <c r="D70" s="4" t="s">
        <v>42</v>
      </c>
      <c r="E70" s="4" t="s">
        <v>29</v>
      </c>
      <c r="F70" s="4" t="s">
        <v>169</v>
      </c>
      <c r="G70" s="4">
        <v>2.0</v>
      </c>
      <c r="H70" s="6">
        <v>1757.86</v>
      </c>
      <c r="I70" s="6">
        <v>3515.72</v>
      </c>
      <c r="J70" s="6">
        <v>3140.6</v>
      </c>
      <c r="K70" s="6">
        <v>375.12</v>
      </c>
      <c r="L70" s="4" t="str">
        <f t="shared" si="1"/>
        <v>Jan-2025</v>
      </c>
    </row>
    <row r="71" ht="15.75" customHeight="1">
      <c r="A71" s="4" t="s">
        <v>170</v>
      </c>
      <c r="B71" s="5">
        <v>45678.0</v>
      </c>
      <c r="C71" s="4" t="s">
        <v>92</v>
      </c>
      <c r="D71" s="4" t="s">
        <v>14</v>
      </c>
      <c r="E71" s="4" t="s">
        <v>15</v>
      </c>
      <c r="F71" s="4" t="s">
        <v>171</v>
      </c>
      <c r="G71" s="4">
        <v>1.0</v>
      </c>
      <c r="H71" s="6">
        <v>1169.19</v>
      </c>
      <c r="I71" s="6">
        <v>1169.19</v>
      </c>
      <c r="J71" s="6">
        <v>848.23</v>
      </c>
      <c r="K71" s="6">
        <v>320.96</v>
      </c>
      <c r="L71" s="4" t="str">
        <f t="shared" si="1"/>
        <v>Jan-2025</v>
      </c>
    </row>
    <row r="72" ht="15.75" customHeight="1">
      <c r="A72" s="4" t="s">
        <v>172</v>
      </c>
      <c r="B72" s="5">
        <v>45678.0</v>
      </c>
      <c r="C72" s="4" t="s">
        <v>92</v>
      </c>
      <c r="D72" s="4" t="s">
        <v>14</v>
      </c>
      <c r="E72" s="4" t="s">
        <v>25</v>
      </c>
      <c r="F72" s="4" t="s">
        <v>173</v>
      </c>
      <c r="G72" s="4">
        <v>4.0</v>
      </c>
      <c r="H72" s="6">
        <v>152.99</v>
      </c>
      <c r="I72" s="6">
        <v>611.96</v>
      </c>
      <c r="J72" s="6">
        <v>466.77</v>
      </c>
      <c r="K72" s="6">
        <v>145.19</v>
      </c>
      <c r="L72" s="4" t="str">
        <f t="shared" si="1"/>
        <v>Jan-2025</v>
      </c>
    </row>
    <row r="73" ht="15.75" customHeight="1">
      <c r="A73" s="4" t="s">
        <v>174</v>
      </c>
      <c r="B73" s="5">
        <v>45678.0</v>
      </c>
      <c r="C73" s="4" t="s">
        <v>69</v>
      </c>
      <c r="D73" s="4" t="s">
        <v>19</v>
      </c>
      <c r="E73" s="4" t="s">
        <v>29</v>
      </c>
      <c r="F73" s="4" t="s">
        <v>175</v>
      </c>
      <c r="G73" s="4">
        <v>7.0</v>
      </c>
      <c r="H73" s="6">
        <v>67479.01</v>
      </c>
      <c r="I73" s="6">
        <v>472353.07</v>
      </c>
      <c r="J73" s="6">
        <v>425246.66</v>
      </c>
      <c r="K73" s="6">
        <v>47106.41</v>
      </c>
      <c r="L73" s="4" t="str">
        <f t="shared" si="1"/>
        <v>Jan-2025</v>
      </c>
    </row>
    <row r="74" ht="15.75" customHeight="1">
      <c r="A74" s="4" t="s">
        <v>176</v>
      </c>
      <c r="B74" s="5">
        <v>45678.0</v>
      </c>
      <c r="C74" s="4" t="s">
        <v>32</v>
      </c>
      <c r="D74" s="4" t="s">
        <v>19</v>
      </c>
      <c r="E74" s="4" t="s">
        <v>25</v>
      </c>
      <c r="F74" s="4" t="s">
        <v>103</v>
      </c>
      <c r="G74" s="4">
        <v>3.0</v>
      </c>
      <c r="H74" s="6">
        <v>50281.51</v>
      </c>
      <c r="I74" s="6">
        <v>150844.53</v>
      </c>
      <c r="J74" s="6">
        <v>123873.96</v>
      </c>
      <c r="K74" s="6">
        <v>26970.57</v>
      </c>
      <c r="L74" s="4" t="str">
        <f t="shared" si="1"/>
        <v>Jan-2025</v>
      </c>
    </row>
    <row r="75" ht="15.75" customHeight="1">
      <c r="A75" s="4" t="s">
        <v>177</v>
      </c>
      <c r="B75" s="5">
        <v>45678.0</v>
      </c>
      <c r="C75" s="4" t="s">
        <v>23</v>
      </c>
      <c r="D75" s="4" t="s">
        <v>24</v>
      </c>
      <c r="E75" s="4" t="s">
        <v>29</v>
      </c>
      <c r="F75" s="4" t="s">
        <v>178</v>
      </c>
      <c r="G75" s="4">
        <v>2.0</v>
      </c>
      <c r="H75" s="6">
        <v>3571.02</v>
      </c>
      <c r="I75" s="6">
        <v>7142.04</v>
      </c>
      <c r="J75" s="6">
        <v>5796.49</v>
      </c>
      <c r="K75" s="6">
        <v>1345.55</v>
      </c>
      <c r="L75" s="4" t="str">
        <f t="shared" si="1"/>
        <v>Jan-2025</v>
      </c>
    </row>
    <row r="76" ht="15.75" customHeight="1">
      <c r="A76" s="4" t="s">
        <v>179</v>
      </c>
      <c r="B76" s="5">
        <v>45678.0</v>
      </c>
      <c r="C76" s="4" t="s">
        <v>180</v>
      </c>
      <c r="D76" s="4" t="s">
        <v>19</v>
      </c>
      <c r="E76" s="4" t="s">
        <v>15</v>
      </c>
      <c r="F76" s="4" t="s">
        <v>181</v>
      </c>
      <c r="G76" s="4">
        <v>3.0</v>
      </c>
      <c r="H76" s="6">
        <v>23413.26</v>
      </c>
      <c r="I76" s="6">
        <v>70239.78</v>
      </c>
      <c r="J76" s="6">
        <v>63088.18</v>
      </c>
      <c r="K76" s="6">
        <v>7151.6</v>
      </c>
      <c r="L76" s="4" t="str">
        <f t="shared" si="1"/>
        <v>Jan-2025</v>
      </c>
    </row>
    <row r="77" ht="15.75" customHeight="1">
      <c r="A77" s="4" t="s">
        <v>182</v>
      </c>
      <c r="B77" s="5">
        <v>45679.0</v>
      </c>
      <c r="C77" s="4" t="s">
        <v>35</v>
      </c>
      <c r="D77" s="4" t="s">
        <v>14</v>
      </c>
      <c r="E77" s="4" t="s">
        <v>15</v>
      </c>
      <c r="F77" s="4" t="s">
        <v>55</v>
      </c>
      <c r="G77" s="4">
        <v>1.0</v>
      </c>
      <c r="H77" s="6">
        <v>588.34</v>
      </c>
      <c r="I77" s="6">
        <v>588.34</v>
      </c>
      <c r="J77" s="6">
        <v>488.76</v>
      </c>
      <c r="K77" s="6">
        <v>99.58</v>
      </c>
      <c r="L77" s="4" t="str">
        <f t="shared" si="1"/>
        <v>Jan-2025</v>
      </c>
    </row>
    <row r="78" ht="15.75" customHeight="1">
      <c r="A78" s="4" t="s">
        <v>183</v>
      </c>
      <c r="B78" s="5">
        <v>45679.0</v>
      </c>
      <c r="C78" s="4" t="s">
        <v>13</v>
      </c>
      <c r="D78" s="4" t="s">
        <v>14</v>
      </c>
      <c r="E78" s="4" t="s">
        <v>15</v>
      </c>
      <c r="F78" s="4" t="s">
        <v>184</v>
      </c>
      <c r="G78" s="4">
        <v>5.0</v>
      </c>
      <c r="H78" s="6">
        <v>288.98</v>
      </c>
      <c r="I78" s="6">
        <v>1444.9</v>
      </c>
      <c r="J78" s="6">
        <v>1027.29</v>
      </c>
      <c r="K78" s="6">
        <v>417.61</v>
      </c>
      <c r="L78" s="4" t="str">
        <f t="shared" si="1"/>
        <v>Jan-2025</v>
      </c>
    </row>
    <row r="79" ht="15.75" customHeight="1">
      <c r="A79" s="4" t="s">
        <v>185</v>
      </c>
      <c r="B79" s="5">
        <v>45679.0</v>
      </c>
      <c r="C79" s="4" t="s">
        <v>35</v>
      </c>
      <c r="D79" s="4" t="s">
        <v>14</v>
      </c>
      <c r="E79" s="4" t="s">
        <v>25</v>
      </c>
      <c r="F79" s="4" t="s">
        <v>186</v>
      </c>
      <c r="G79" s="4">
        <v>3.0</v>
      </c>
      <c r="H79" s="6">
        <v>109.09</v>
      </c>
      <c r="I79" s="6">
        <v>327.27</v>
      </c>
      <c r="J79" s="6">
        <v>237.85</v>
      </c>
      <c r="K79" s="6">
        <v>89.42</v>
      </c>
      <c r="L79" s="4" t="str">
        <f t="shared" si="1"/>
        <v>Jan-2025</v>
      </c>
    </row>
    <row r="80" ht="15.75" customHeight="1">
      <c r="A80" s="4" t="s">
        <v>187</v>
      </c>
      <c r="B80" s="5">
        <v>45679.0</v>
      </c>
      <c r="C80" s="4" t="s">
        <v>160</v>
      </c>
      <c r="D80" s="4" t="s">
        <v>42</v>
      </c>
      <c r="E80" s="4" t="s">
        <v>29</v>
      </c>
      <c r="F80" s="4" t="s">
        <v>51</v>
      </c>
      <c r="G80" s="4">
        <v>5.0</v>
      </c>
      <c r="H80" s="6">
        <v>4346.89</v>
      </c>
      <c r="I80" s="6">
        <v>21734.45</v>
      </c>
      <c r="J80" s="6">
        <v>17680.02</v>
      </c>
      <c r="K80" s="6">
        <v>4054.43</v>
      </c>
      <c r="L80" s="4" t="str">
        <f t="shared" si="1"/>
        <v>Jan-2025</v>
      </c>
    </row>
    <row r="81" ht="15.75" customHeight="1">
      <c r="A81" s="4" t="s">
        <v>188</v>
      </c>
      <c r="B81" s="5">
        <v>45679.0</v>
      </c>
      <c r="C81" s="4" t="s">
        <v>41</v>
      </c>
      <c r="D81" s="4" t="s">
        <v>42</v>
      </c>
      <c r="E81" s="4" t="s">
        <v>20</v>
      </c>
      <c r="F81" s="4" t="s">
        <v>189</v>
      </c>
      <c r="G81" s="4">
        <v>6.0</v>
      </c>
      <c r="H81" s="6">
        <v>3959.83</v>
      </c>
      <c r="I81" s="6">
        <v>23758.98</v>
      </c>
      <c r="J81" s="6">
        <v>19232.2</v>
      </c>
      <c r="K81" s="6">
        <v>4526.78</v>
      </c>
      <c r="L81" s="4" t="str">
        <f t="shared" si="1"/>
        <v>Jan-2025</v>
      </c>
    </row>
    <row r="82" ht="15.75" customHeight="1">
      <c r="A82" s="4" t="s">
        <v>190</v>
      </c>
      <c r="B82" s="5">
        <v>45680.0</v>
      </c>
      <c r="C82" s="4" t="s">
        <v>75</v>
      </c>
      <c r="D82" s="4" t="s">
        <v>24</v>
      </c>
      <c r="E82" s="4" t="s">
        <v>25</v>
      </c>
      <c r="F82" s="4" t="s">
        <v>76</v>
      </c>
      <c r="G82" s="4">
        <v>6.0</v>
      </c>
      <c r="H82" s="6">
        <v>3250.95</v>
      </c>
      <c r="I82" s="6">
        <v>19505.7</v>
      </c>
      <c r="J82" s="6">
        <v>15399.37</v>
      </c>
      <c r="K82" s="6">
        <v>4106.33</v>
      </c>
      <c r="L82" s="4" t="str">
        <f t="shared" si="1"/>
        <v>Jan-2025</v>
      </c>
    </row>
    <row r="83" ht="15.75" customHeight="1">
      <c r="A83" s="4" t="s">
        <v>191</v>
      </c>
      <c r="B83" s="5">
        <v>45680.0</v>
      </c>
      <c r="C83" s="4" t="s">
        <v>38</v>
      </c>
      <c r="D83" s="4" t="s">
        <v>19</v>
      </c>
      <c r="E83" s="4" t="s">
        <v>25</v>
      </c>
      <c r="F83" s="4" t="s">
        <v>116</v>
      </c>
      <c r="G83" s="4">
        <v>7.0</v>
      </c>
      <c r="H83" s="6">
        <v>4801.8</v>
      </c>
      <c r="I83" s="6">
        <v>33612.6</v>
      </c>
      <c r="J83" s="6">
        <v>28840.1</v>
      </c>
      <c r="K83" s="6">
        <v>4772.5</v>
      </c>
      <c r="L83" s="4" t="str">
        <f t="shared" si="1"/>
        <v>Jan-2025</v>
      </c>
    </row>
    <row r="84" ht="15.75" customHeight="1">
      <c r="A84" s="4" t="s">
        <v>192</v>
      </c>
      <c r="B84" s="5">
        <v>45681.0</v>
      </c>
      <c r="C84" s="4" t="s">
        <v>160</v>
      </c>
      <c r="D84" s="4" t="s">
        <v>42</v>
      </c>
      <c r="E84" s="4" t="s">
        <v>15</v>
      </c>
      <c r="F84" s="4" t="s">
        <v>99</v>
      </c>
      <c r="G84" s="4">
        <v>7.0</v>
      </c>
      <c r="H84" s="6">
        <v>1098.2</v>
      </c>
      <c r="I84" s="6">
        <v>7687.4</v>
      </c>
      <c r="J84" s="6">
        <v>6484.09</v>
      </c>
      <c r="K84" s="6">
        <v>1203.31</v>
      </c>
      <c r="L84" s="4" t="str">
        <f t="shared" si="1"/>
        <v>Jan-2025</v>
      </c>
    </row>
    <row r="85" ht="15.75" customHeight="1">
      <c r="A85" s="4" t="s">
        <v>193</v>
      </c>
      <c r="B85" s="5">
        <v>45681.0</v>
      </c>
      <c r="C85" s="4" t="s">
        <v>35</v>
      </c>
      <c r="D85" s="4" t="s">
        <v>14</v>
      </c>
      <c r="E85" s="4" t="s">
        <v>29</v>
      </c>
      <c r="F85" s="4" t="s">
        <v>67</v>
      </c>
      <c r="G85" s="4">
        <v>7.0</v>
      </c>
      <c r="H85" s="6">
        <v>919.83</v>
      </c>
      <c r="I85" s="6">
        <v>6438.81</v>
      </c>
      <c r="J85" s="6">
        <v>5411.69</v>
      </c>
      <c r="K85" s="6">
        <v>1027.12</v>
      </c>
      <c r="L85" s="4" t="str">
        <f t="shared" si="1"/>
        <v>Jan-2025</v>
      </c>
    </row>
    <row r="86" ht="15.75" customHeight="1">
      <c r="A86" s="4" t="s">
        <v>194</v>
      </c>
      <c r="B86" s="5">
        <v>45681.0</v>
      </c>
      <c r="C86" s="4" t="s">
        <v>38</v>
      </c>
      <c r="D86" s="4" t="s">
        <v>19</v>
      </c>
      <c r="E86" s="4" t="s">
        <v>29</v>
      </c>
      <c r="F86" s="4" t="s">
        <v>195</v>
      </c>
      <c r="G86" s="4">
        <v>7.0</v>
      </c>
      <c r="H86" s="6">
        <v>65986.98</v>
      </c>
      <c r="I86" s="6">
        <v>461908.86</v>
      </c>
      <c r="J86" s="6">
        <v>408225.74</v>
      </c>
      <c r="K86" s="6">
        <v>53683.12</v>
      </c>
      <c r="L86" s="4" t="str">
        <f t="shared" si="1"/>
        <v>Jan-2025</v>
      </c>
    </row>
    <row r="87" ht="15.75" customHeight="1">
      <c r="A87" s="4" t="s">
        <v>196</v>
      </c>
      <c r="B87" s="5">
        <v>45681.0</v>
      </c>
      <c r="C87" s="4" t="s">
        <v>109</v>
      </c>
      <c r="D87" s="4" t="s">
        <v>42</v>
      </c>
      <c r="E87" s="4" t="s">
        <v>29</v>
      </c>
      <c r="F87" s="4" t="s">
        <v>197</v>
      </c>
      <c r="G87" s="4">
        <v>1.0</v>
      </c>
      <c r="H87" s="6">
        <v>3445.32</v>
      </c>
      <c r="I87" s="6">
        <v>3445.32</v>
      </c>
      <c r="J87" s="6">
        <v>2772.96</v>
      </c>
      <c r="K87" s="6">
        <v>672.36</v>
      </c>
      <c r="L87" s="4" t="str">
        <f t="shared" si="1"/>
        <v>Jan-2025</v>
      </c>
    </row>
    <row r="88" ht="15.75" customHeight="1">
      <c r="A88" s="4" t="s">
        <v>198</v>
      </c>
      <c r="B88" s="5">
        <v>45683.0</v>
      </c>
      <c r="C88" s="4" t="s">
        <v>35</v>
      </c>
      <c r="D88" s="4" t="s">
        <v>14</v>
      </c>
      <c r="E88" s="4" t="s">
        <v>20</v>
      </c>
      <c r="F88" s="4" t="s">
        <v>199</v>
      </c>
      <c r="G88" s="4">
        <v>2.0</v>
      </c>
      <c r="H88" s="6">
        <v>1495.83</v>
      </c>
      <c r="I88" s="6">
        <v>2991.66</v>
      </c>
      <c r="J88" s="6">
        <v>2459.69</v>
      </c>
      <c r="K88" s="6">
        <v>531.97</v>
      </c>
      <c r="L88" s="4" t="str">
        <f t="shared" si="1"/>
        <v>Jan-2025</v>
      </c>
    </row>
    <row r="89" ht="15.75" customHeight="1">
      <c r="A89" s="4" t="s">
        <v>200</v>
      </c>
      <c r="B89" s="5">
        <v>45683.0</v>
      </c>
      <c r="C89" s="4" t="s">
        <v>61</v>
      </c>
      <c r="D89" s="4" t="s">
        <v>19</v>
      </c>
      <c r="E89" s="4" t="s">
        <v>20</v>
      </c>
      <c r="F89" s="4" t="s">
        <v>201</v>
      </c>
      <c r="G89" s="4">
        <v>6.0</v>
      </c>
      <c r="H89" s="6">
        <v>5632.98</v>
      </c>
      <c r="I89" s="6">
        <v>33797.88</v>
      </c>
      <c r="J89" s="6">
        <v>29332.97</v>
      </c>
      <c r="K89" s="6">
        <v>4464.91</v>
      </c>
      <c r="L89" s="4" t="str">
        <f t="shared" si="1"/>
        <v>Jan-2025</v>
      </c>
    </row>
    <row r="90" ht="15.75" customHeight="1">
      <c r="A90" s="4" t="s">
        <v>202</v>
      </c>
      <c r="B90" s="5">
        <v>45684.0</v>
      </c>
      <c r="C90" s="4" t="s">
        <v>50</v>
      </c>
      <c r="D90" s="4" t="s">
        <v>42</v>
      </c>
      <c r="E90" s="4" t="s">
        <v>25</v>
      </c>
      <c r="F90" s="4" t="s">
        <v>203</v>
      </c>
      <c r="G90" s="4">
        <v>6.0</v>
      </c>
      <c r="H90" s="6">
        <v>973.28</v>
      </c>
      <c r="I90" s="6">
        <v>5839.68</v>
      </c>
      <c r="J90" s="6">
        <v>4512.54</v>
      </c>
      <c r="K90" s="6">
        <v>1327.14</v>
      </c>
      <c r="L90" s="4" t="str">
        <f t="shared" si="1"/>
        <v>Jan-2025</v>
      </c>
    </row>
    <row r="91" ht="15.75" customHeight="1">
      <c r="A91" s="4" t="s">
        <v>204</v>
      </c>
      <c r="B91" s="5">
        <v>45684.0</v>
      </c>
      <c r="C91" s="4" t="s">
        <v>41</v>
      </c>
      <c r="D91" s="4" t="s">
        <v>42</v>
      </c>
      <c r="E91" s="4" t="s">
        <v>29</v>
      </c>
      <c r="F91" s="4" t="s">
        <v>205</v>
      </c>
      <c r="G91" s="4">
        <v>6.0</v>
      </c>
      <c r="H91" s="6">
        <v>3296.5</v>
      </c>
      <c r="I91" s="6">
        <v>19779.0</v>
      </c>
      <c r="J91" s="6">
        <v>16320.07</v>
      </c>
      <c r="K91" s="6">
        <v>3458.93</v>
      </c>
      <c r="L91" s="4" t="str">
        <f t="shared" si="1"/>
        <v>Jan-2025</v>
      </c>
    </row>
    <row r="92" ht="15.75" customHeight="1">
      <c r="A92" s="4" t="s">
        <v>206</v>
      </c>
      <c r="B92" s="5">
        <v>45684.0</v>
      </c>
      <c r="C92" s="4" t="s">
        <v>66</v>
      </c>
      <c r="D92" s="4" t="s">
        <v>42</v>
      </c>
      <c r="E92" s="4" t="s">
        <v>25</v>
      </c>
      <c r="F92" s="4" t="s">
        <v>207</v>
      </c>
      <c r="G92" s="4">
        <v>2.0</v>
      </c>
      <c r="H92" s="6">
        <v>235.82</v>
      </c>
      <c r="I92" s="6">
        <v>471.64</v>
      </c>
      <c r="J92" s="6">
        <v>372.67</v>
      </c>
      <c r="K92" s="6">
        <v>98.97</v>
      </c>
      <c r="L92" s="4" t="str">
        <f t="shared" si="1"/>
        <v>Jan-2025</v>
      </c>
    </row>
    <row r="93" ht="15.75" customHeight="1">
      <c r="A93" s="4" t="s">
        <v>208</v>
      </c>
      <c r="B93" s="5">
        <v>45684.0</v>
      </c>
      <c r="C93" s="4" t="s">
        <v>75</v>
      </c>
      <c r="D93" s="4" t="s">
        <v>24</v>
      </c>
      <c r="E93" s="4" t="s">
        <v>29</v>
      </c>
      <c r="F93" s="4" t="s">
        <v>88</v>
      </c>
      <c r="G93" s="4">
        <v>1.0</v>
      </c>
      <c r="H93" s="6">
        <v>3840.09</v>
      </c>
      <c r="I93" s="6">
        <v>3840.09</v>
      </c>
      <c r="J93" s="6">
        <v>2905.07</v>
      </c>
      <c r="K93" s="6">
        <v>935.02</v>
      </c>
      <c r="L93" s="4" t="str">
        <f t="shared" si="1"/>
        <v>Jan-2025</v>
      </c>
    </row>
    <row r="94" ht="15.75" customHeight="1">
      <c r="A94" s="4" t="s">
        <v>209</v>
      </c>
      <c r="B94" s="5">
        <v>45684.0</v>
      </c>
      <c r="C94" s="4" t="s">
        <v>140</v>
      </c>
      <c r="D94" s="4" t="s">
        <v>14</v>
      </c>
      <c r="E94" s="4" t="s">
        <v>20</v>
      </c>
      <c r="F94" s="4" t="s">
        <v>210</v>
      </c>
      <c r="G94" s="4">
        <v>1.0</v>
      </c>
      <c r="H94" s="6">
        <v>79.02</v>
      </c>
      <c r="I94" s="6">
        <v>79.02</v>
      </c>
      <c r="J94" s="6">
        <v>66.97</v>
      </c>
      <c r="K94" s="6">
        <v>12.05</v>
      </c>
      <c r="L94" s="4" t="str">
        <f t="shared" si="1"/>
        <v>Jan-2025</v>
      </c>
    </row>
    <row r="95" ht="15.75" customHeight="1">
      <c r="A95" s="4" t="s">
        <v>211</v>
      </c>
      <c r="B95" s="5">
        <v>45685.0</v>
      </c>
      <c r="C95" s="4" t="s">
        <v>75</v>
      </c>
      <c r="D95" s="4" t="s">
        <v>24</v>
      </c>
      <c r="E95" s="4" t="s">
        <v>25</v>
      </c>
      <c r="F95" s="4" t="s">
        <v>82</v>
      </c>
      <c r="G95" s="4">
        <v>2.0</v>
      </c>
      <c r="H95" s="6">
        <v>4719.4</v>
      </c>
      <c r="I95" s="6">
        <v>9438.8</v>
      </c>
      <c r="J95" s="6">
        <v>7610.96</v>
      </c>
      <c r="K95" s="6">
        <v>1827.84</v>
      </c>
      <c r="L95" s="4" t="str">
        <f t="shared" si="1"/>
        <v>Jan-2025</v>
      </c>
    </row>
    <row r="96" ht="15.75" customHeight="1">
      <c r="A96" s="4" t="s">
        <v>212</v>
      </c>
      <c r="B96" s="5">
        <v>45685.0</v>
      </c>
      <c r="C96" s="4" t="s">
        <v>72</v>
      </c>
      <c r="D96" s="4" t="s">
        <v>24</v>
      </c>
      <c r="E96" s="4" t="s">
        <v>25</v>
      </c>
      <c r="F96" s="4" t="s">
        <v>213</v>
      </c>
      <c r="G96" s="4">
        <v>2.0</v>
      </c>
      <c r="H96" s="6">
        <v>13631.25</v>
      </c>
      <c r="I96" s="6">
        <v>27262.5</v>
      </c>
      <c r="J96" s="6">
        <v>22889.87</v>
      </c>
      <c r="K96" s="6">
        <v>4372.63</v>
      </c>
      <c r="L96" s="4" t="str">
        <f t="shared" si="1"/>
        <v>Jan-2025</v>
      </c>
    </row>
    <row r="97" ht="15.75" customHeight="1">
      <c r="A97" s="4" t="s">
        <v>214</v>
      </c>
      <c r="B97" s="5">
        <v>45685.0</v>
      </c>
      <c r="C97" s="4" t="s">
        <v>47</v>
      </c>
      <c r="D97" s="4" t="s">
        <v>14</v>
      </c>
      <c r="E97" s="4" t="s">
        <v>15</v>
      </c>
      <c r="F97" s="4" t="s">
        <v>215</v>
      </c>
      <c r="G97" s="4">
        <v>5.0</v>
      </c>
      <c r="H97" s="6">
        <v>919.59</v>
      </c>
      <c r="I97" s="6">
        <v>4597.95</v>
      </c>
      <c r="J97" s="6">
        <v>3645.0</v>
      </c>
      <c r="K97" s="6">
        <v>952.95</v>
      </c>
      <c r="L97" s="4" t="str">
        <f t="shared" si="1"/>
        <v>Jan-2025</v>
      </c>
    </row>
    <row r="98" ht="15.75" customHeight="1">
      <c r="A98" s="4" t="s">
        <v>216</v>
      </c>
      <c r="B98" s="5">
        <v>45685.0</v>
      </c>
      <c r="C98" s="4" t="s">
        <v>72</v>
      </c>
      <c r="D98" s="4" t="s">
        <v>24</v>
      </c>
      <c r="E98" s="4" t="s">
        <v>25</v>
      </c>
      <c r="F98" s="4" t="s">
        <v>217</v>
      </c>
      <c r="G98" s="4">
        <v>6.0</v>
      </c>
      <c r="H98" s="6">
        <v>14679.74</v>
      </c>
      <c r="I98" s="6">
        <v>88078.44</v>
      </c>
      <c r="J98" s="6">
        <v>63830.8</v>
      </c>
      <c r="K98" s="6">
        <v>24247.64</v>
      </c>
      <c r="L98" s="4" t="str">
        <f t="shared" si="1"/>
        <v>Jan-2025</v>
      </c>
    </row>
    <row r="99" ht="15.75" customHeight="1">
      <c r="A99" s="4" t="s">
        <v>218</v>
      </c>
      <c r="B99" s="5">
        <v>45686.0</v>
      </c>
      <c r="C99" s="4" t="s">
        <v>180</v>
      </c>
      <c r="D99" s="4" t="s">
        <v>19</v>
      </c>
      <c r="E99" s="4" t="s">
        <v>25</v>
      </c>
      <c r="F99" s="4" t="s">
        <v>219</v>
      </c>
      <c r="G99" s="4">
        <v>2.0</v>
      </c>
      <c r="H99" s="6">
        <v>4862.08</v>
      </c>
      <c r="I99" s="6">
        <v>9724.16</v>
      </c>
      <c r="J99" s="6">
        <v>8531.96</v>
      </c>
      <c r="K99" s="6">
        <v>1192.2</v>
      </c>
      <c r="L99" s="4" t="str">
        <f t="shared" si="1"/>
        <v>Jan-2025</v>
      </c>
    </row>
    <row r="100" ht="15.75" customHeight="1">
      <c r="A100" s="4" t="s">
        <v>220</v>
      </c>
      <c r="B100" s="5">
        <v>45686.0</v>
      </c>
      <c r="C100" s="4" t="s">
        <v>32</v>
      </c>
      <c r="D100" s="4" t="s">
        <v>19</v>
      </c>
      <c r="E100" s="4" t="s">
        <v>25</v>
      </c>
      <c r="F100" s="4" t="s">
        <v>33</v>
      </c>
      <c r="G100" s="4">
        <v>4.0</v>
      </c>
      <c r="H100" s="6">
        <v>15267.16</v>
      </c>
      <c r="I100" s="6">
        <v>61068.64</v>
      </c>
      <c r="J100" s="6">
        <v>49658.02</v>
      </c>
      <c r="K100" s="6">
        <v>11410.62</v>
      </c>
      <c r="L100" s="4" t="str">
        <f t="shared" si="1"/>
        <v>Jan-2025</v>
      </c>
    </row>
    <row r="101" ht="15.75" customHeight="1">
      <c r="A101" s="4" t="s">
        <v>221</v>
      </c>
      <c r="B101" s="5">
        <v>45686.0</v>
      </c>
      <c r="C101" s="4" t="s">
        <v>180</v>
      </c>
      <c r="D101" s="4" t="s">
        <v>19</v>
      </c>
      <c r="E101" s="4" t="s">
        <v>29</v>
      </c>
      <c r="F101" s="4" t="s">
        <v>158</v>
      </c>
      <c r="G101" s="4">
        <v>7.0</v>
      </c>
      <c r="H101" s="6">
        <v>36071.64</v>
      </c>
      <c r="I101" s="6">
        <v>252501.48</v>
      </c>
      <c r="J101" s="6">
        <v>221286.81</v>
      </c>
      <c r="K101" s="6">
        <v>31214.67</v>
      </c>
      <c r="L101" s="4" t="str">
        <f t="shared" si="1"/>
        <v>Jan-2025</v>
      </c>
    </row>
    <row r="102" ht="15.75" customHeight="1">
      <c r="A102" s="4" t="s">
        <v>222</v>
      </c>
      <c r="B102" s="5">
        <v>45687.0</v>
      </c>
      <c r="C102" s="4" t="s">
        <v>23</v>
      </c>
      <c r="D102" s="4" t="s">
        <v>24</v>
      </c>
      <c r="E102" s="4" t="s">
        <v>25</v>
      </c>
      <c r="F102" s="4" t="s">
        <v>223</v>
      </c>
      <c r="G102" s="4">
        <v>2.0</v>
      </c>
      <c r="H102" s="6">
        <v>7693.38</v>
      </c>
      <c r="I102" s="6">
        <v>15386.76</v>
      </c>
      <c r="J102" s="6">
        <v>11402.06</v>
      </c>
      <c r="K102" s="6">
        <v>3984.7</v>
      </c>
      <c r="L102" s="4" t="str">
        <f t="shared" si="1"/>
        <v>Jan-2025</v>
      </c>
    </row>
    <row r="103" ht="15.75" customHeight="1">
      <c r="A103" s="4" t="s">
        <v>224</v>
      </c>
      <c r="B103" s="5">
        <v>45688.0</v>
      </c>
      <c r="C103" s="4" t="s">
        <v>47</v>
      </c>
      <c r="D103" s="4" t="s">
        <v>14</v>
      </c>
      <c r="E103" s="4" t="s">
        <v>29</v>
      </c>
      <c r="F103" s="4" t="s">
        <v>225</v>
      </c>
      <c r="G103" s="4">
        <v>7.0</v>
      </c>
      <c r="H103" s="6">
        <v>1307.05</v>
      </c>
      <c r="I103" s="6">
        <v>9149.35</v>
      </c>
      <c r="J103" s="6">
        <v>6914.24</v>
      </c>
      <c r="K103" s="6">
        <v>2235.11</v>
      </c>
      <c r="L103" s="4" t="str">
        <f t="shared" si="1"/>
        <v>Jan-2025</v>
      </c>
    </row>
    <row r="104" ht="15.75" customHeight="1">
      <c r="A104" s="4" t="s">
        <v>226</v>
      </c>
      <c r="B104" s="5">
        <v>45688.0</v>
      </c>
      <c r="C104" s="4" t="s">
        <v>23</v>
      </c>
      <c r="D104" s="4" t="s">
        <v>24</v>
      </c>
      <c r="E104" s="4" t="s">
        <v>20</v>
      </c>
      <c r="F104" s="4" t="s">
        <v>227</v>
      </c>
      <c r="G104" s="4">
        <v>6.0</v>
      </c>
      <c r="H104" s="6">
        <v>1267.88</v>
      </c>
      <c r="I104" s="6">
        <v>7607.28</v>
      </c>
      <c r="J104" s="6">
        <v>5907.36</v>
      </c>
      <c r="K104" s="6">
        <v>1699.92</v>
      </c>
      <c r="L104" s="4" t="str">
        <f t="shared" si="1"/>
        <v>Jan-2025</v>
      </c>
    </row>
    <row r="105" ht="15.75" customHeight="1">
      <c r="A105" s="4" t="s">
        <v>228</v>
      </c>
      <c r="B105" s="5">
        <v>45688.0</v>
      </c>
      <c r="C105" s="4" t="s">
        <v>92</v>
      </c>
      <c r="D105" s="4" t="s">
        <v>14</v>
      </c>
      <c r="E105" s="4" t="s">
        <v>20</v>
      </c>
      <c r="F105" s="4" t="s">
        <v>229</v>
      </c>
      <c r="G105" s="4">
        <v>3.0</v>
      </c>
      <c r="H105" s="6">
        <v>465.08</v>
      </c>
      <c r="I105" s="6">
        <v>1395.24</v>
      </c>
      <c r="J105" s="6">
        <v>1180.1</v>
      </c>
      <c r="K105" s="6">
        <v>215.14</v>
      </c>
      <c r="L105" s="4" t="str">
        <f t="shared" si="1"/>
        <v>Jan-2025</v>
      </c>
    </row>
    <row r="106" ht="15.75" customHeight="1">
      <c r="A106" s="4" t="s">
        <v>230</v>
      </c>
      <c r="B106" s="5">
        <v>45688.0</v>
      </c>
      <c r="C106" s="4" t="s">
        <v>66</v>
      </c>
      <c r="D106" s="4" t="s">
        <v>42</v>
      </c>
      <c r="E106" s="4" t="s">
        <v>25</v>
      </c>
      <c r="F106" s="4" t="s">
        <v>201</v>
      </c>
      <c r="G106" s="4">
        <v>4.0</v>
      </c>
      <c r="H106" s="6">
        <v>1644.57</v>
      </c>
      <c r="I106" s="6">
        <v>6578.28</v>
      </c>
      <c r="J106" s="6">
        <v>5568.79</v>
      </c>
      <c r="K106" s="6">
        <v>1009.49</v>
      </c>
      <c r="L106" s="4" t="str">
        <f t="shared" si="1"/>
        <v>Jan-2025</v>
      </c>
    </row>
    <row r="107" ht="15.75" customHeight="1">
      <c r="A107" s="4" t="s">
        <v>231</v>
      </c>
      <c r="B107" s="5">
        <v>45688.0</v>
      </c>
      <c r="C107" s="4" t="s">
        <v>32</v>
      </c>
      <c r="D107" s="4" t="s">
        <v>19</v>
      </c>
      <c r="E107" s="4" t="s">
        <v>25</v>
      </c>
      <c r="F107" s="4" t="s">
        <v>95</v>
      </c>
      <c r="G107" s="4">
        <v>1.0</v>
      </c>
      <c r="H107" s="6">
        <v>1839.88</v>
      </c>
      <c r="I107" s="6">
        <v>1839.88</v>
      </c>
      <c r="J107" s="6">
        <v>1567.54</v>
      </c>
      <c r="K107" s="6">
        <v>272.34</v>
      </c>
      <c r="L107" s="4" t="str">
        <f t="shared" si="1"/>
        <v>Jan-2025</v>
      </c>
    </row>
    <row r="108" ht="15.75" customHeight="1">
      <c r="A108" s="4" t="s">
        <v>232</v>
      </c>
      <c r="B108" s="5">
        <v>45688.0</v>
      </c>
      <c r="C108" s="4" t="s">
        <v>38</v>
      </c>
      <c r="D108" s="4" t="s">
        <v>19</v>
      </c>
      <c r="E108" s="4" t="s">
        <v>20</v>
      </c>
      <c r="F108" s="4" t="s">
        <v>233</v>
      </c>
      <c r="G108" s="4">
        <v>4.0</v>
      </c>
      <c r="H108" s="6">
        <v>41381.19</v>
      </c>
      <c r="I108" s="6">
        <v>165524.76</v>
      </c>
      <c r="J108" s="6">
        <v>148565.38</v>
      </c>
      <c r="K108" s="6">
        <v>16959.38</v>
      </c>
      <c r="L108" s="4" t="str">
        <f t="shared" si="1"/>
        <v>Jan-2025</v>
      </c>
    </row>
    <row r="109" ht="15.75" customHeight="1">
      <c r="A109" s="4" t="s">
        <v>234</v>
      </c>
      <c r="B109" s="5">
        <v>45689.0</v>
      </c>
      <c r="C109" s="4" t="s">
        <v>102</v>
      </c>
      <c r="D109" s="4" t="s">
        <v>24</v>
      </c>
      <c r="E109" s="4" t="s">
        <v>25</v>
      </c>
      <c r="F109" s="4" t="s">
        <v>133</v>
      </c>
      <c r="G109" s="4">
        <v>4.0</v>
      </c>
      <c r="H109" s="6">
        <v>7349.34</v>
      </c>
      <c r="I109" s="6">
        <v>29397.36</v>
      </c>
      <c r="J109" s="6">
        <v>21923.39</v>
      </c>
      <c r="K109" s="6">
        <v>7473.97</v>
      </c>
      <c r="L109" s="4" t="str">
        <f t="shared" si="1"/>
        <v>Feb-2025</v>
      </c>
    </row>
    <row r="110" ht="15.75" customHeight="1">
      <c r="A110" s="4" t="s">
        <v>235</v>
      </c>
      <c r="B110" s="5">
        <v>45690.0</v>
      </c>
      <c r="C110" s="4" t="s">
        <v>102</v>
      </c>
      <c r="D110" s="4" t="s">
        <v>24</v>
      </c>
      <c r="E110" s="4" t="s">
        <v>25</v>
      </c>
      <c r="F110" s="4" t="s">
        <v>236</v>
      </c>
      <c r="G110" s="4">
        <v>4.0</v>
      </c>
      <c r="H110" s="6">
        <v>16260.54</v>
      </c>
      <c r="I110" s="6">
        <v>65042.16</v>
      </c>
      <c r="J110" s="6">
        <v>53047.23</v>
      </c>
      <c r="K110" s="6">
        <v>11994.93</v>
      </c>
      <c r="L110" s="4" t="str">
        <f t="shared" si="1"/>
        <v>Feb-2025</v>
      </c>
    </row>
    <row r="111" ht="15.75" customHeight="1">
      <c r="A111" s="4" t="s">
        <v>237</v>
      </c>
      <c r="B111" s="5">
        <v>45690.0</v>
      </c>
      <c r="C111" s="4" t="s">
        <v>23</v>
      </c>
      <c r="D111" s="4" t="s">
        <v>24</v>
      </c>
      <c r="E111" s="4" t="s">
        <v>25</v>
      </c>
      <c r="F111" s="4" t="s">
        <v>238</v>
      </c>
      <c r="G111" s="4">
        <v>3.0</v>
      </c>
      <c r="H111" s="6">
        <v>16857.36</v>
      </c>
      <c r="I111" s="6">
        <v>50572.08</v>
      </c>
      <c r="J111" s="6">
        <v>43314.83</v>
      </c>
      <c r="K111" s="6">
        <v>7257.25</v>
      </c>
      <c r="L111" s="4" t="str">
        <f t="shared" si="1"/>
        <v>Feb-2025</v>
      </c>
    </row>
    <row r="112" ht="15.75" customHeight="1">
      <c r="A112" s="4" t="s">
        <v>239</v>
      </c>
      <c r="B112" s="5">
        <v>45690.0</v>
      </c>
      <c r="C112" s="4" t="s">
        <v>92</v>
      </c>
      <c r="D112" s="4" t="s">
        <v>14</v>
      </c>
      <c r="E112" s="4" t="s">
        <v>25</v>
      </c>
      <c r="F112" s="4" t="s">
        <v>80</v>
      </c>
      <c r="G112" s="4">
        <v>1.0</v>
      </c>
      <c r="H112" s="6">
        <v>1043.89</v>
      </c>
      <c r="I112" s="6">
        <v>1043.89</v>
      </c>
      <c r="J112" s="6">
        <v>820.95</v>
      </c>
      <c r="K112" s="6">
        <v>222.94</v>
      </c>
      <c r="L112" s="4" t="str">
        <f t="shared" si="1"/>
        <v>Feb-2025</v>
      </c>
    </row>
    <row r="113" ht="15.75" customHeight="1">
      <c r="A113" s="4" t="s">
        <v>240</v>
      </c>
      <c r="B113" s="5">
        <v>45691.0</v>
      </c>
      <c r="C113" s="4" t="s">
        <v>75</v>
      </c>
      <c r="D113" s="4" t="s">
        <v>24</v>
      </c>
      <c r="E113" s="4" t="s">
        <v>29</v>
      </c>
      <c r="F113" s="4" t="s">
        <v>241</v>
      </c>
      <c r="G113" s="4">
        <v>1.0</v>
      </c>
      <c r="H113" s="6">
        <v>10224.43</v>
      </c>
      <c r="I113" s="6">
        <v>10224.43</v>
      </c>
      <c r="J113" s="6">
        <v>8500.99</v>
      </c>
      <c r="K113" s="6">
        <v>1723.44</v>
      </c>
      <c r="L113" s="4" t="str">
        <f t="shared" si="1"/>
        <v>Feb-2025</v>
      </c>
    </row>
    <row r="114" ht="15.75" customHeight="1">
      <c r="A114" s="4" t="s">
        <v>242</v>
      </c>
      <c r="B114" s="5">
        <v>45691.0</v>
      </c>
      <c r="C114" s="4" t="s">
        <v>18</v>
      </c>
      <c r="D114" s="4" t="s">
        <v>19</v>
      </c>
      <c r="E114" s="4" t="s">
        <v>25</v>
      </c>
      <c r="F114" s="4" t="s">
        <v>243</v>
      </c>
      <c r="G114" s="4">
        <v>5.0</v>
      </c>
      <c r="H114" s="6">
        <v>44428.98</v>
      </c>
      <c r="I114" s="6">
        <v>222144.9</v>
      </c>
      <c r="J114" s="6">
        <v>193003.94</v>
      </c>
      <c r="K114" s="6">
        <v>29140.96</v>
      </c>
      <c r="L114" s="4" t="str">
        <f t="shared" si="1"/>
        <v>Feb-2025</v>
      </c>
    </row>
    <row r="115" ht="15.75" customHeight="1">
      <c r="A115" s="4" t="s">
        <v>244</v>
      </c>
      <c r="B115" s="5">
        <v>45692.0</v>
      </c>
      <c r="C115" s="4" t="s">
        <v>47</v>
      </c>
      <c r="D115" s="4" t="s">
        <v>14</v>
      </c>
      <c r="E115" s="4" t="s">
        <v>29</v>
      </c>
      <c r="F115" s="4" t="s">
        <v>245</v>
      </c>
      <c r="G115" s="4">
        <v>5.0</v>
      </c>
      <c r="H115" s="6">
        <v>597.02</v>
      </c>
      <c r="I115" s="6">
        <v>2985.1</v>
      </c>
      <c r="J115" s="6">
        <v>2472.87</v>
      </c>
      <c r="K115" s="6">
        <v>512.23</v>
      </c>
      <c r="L115" s="4" t="str">
        <f t="shared" si="1"/>
        <v>Feb-2025</v>
      </c>
    </row>
    <row r="116" ht="15.75" customHeight="1">
      <c r="A116" s="4" t="s">
        <v>246</v>
      </c>
      <c r="B116" s="5">
        <v>45692.0</v>
      </c>
      <c r="C116" s="4" t="s">
        <v>35</v>
      </c>
      <c r="D116" s="4" t="s">
        <v>14</v>
      </c>
      <c r="E116" s="4" t="s">
        <v>15</v>
      </c>
      <c r="F116" s="4" t="s">
        <v>167</v>
      </c>
      <c r="G116" s="4">
        <v>7.0</v>
      </c>
      <c r="H116" s="6">
        <v>968.23</v>
      </c>
      <c r="I116" s="6">
        <v>6777.61</v>
      </c>
      <c r="J116" s="6">
        <v>4901.76</v>
      </c>
      <c r="K116" s="6">
        <v>1875.85</v>
      </c>
      <c r="L116" s="4" t="str">
        <f t="shared" si="1"/>
        <v>Feb-2025</v>
      </c>
    </row>
    <row r="117" ht="15.75" customHeight="1">
      <c r="A117" s="4" t="s">
        <v>247</v>
      </c>
      <c r="B117" s="5">
        <v>45692.0</v>
      </c>
      <c r="C117" s="4" t="s">
        <v>109</v>
      </c>
      <c r="D117" s="4" t="s">
        <v>42</v>
      </c>
      <c r="E117" s="4" t="s">
        <v>25</v>
      </c>
      <c r="F117" s="4" t="s">
        <v>248</v>
      </c>
      <c r="G117" s="4">
        <v>7.0</v>
      </c>
      <c r="H117" s="6">
        <v>3652.38</v>
      </c>
      <c r="I117" s="6">
        <v>25566.66</v>
      </c>
      <c r="J117" s="6">
        <v>22807.4</v>
      </c>
      <c r="K117" s="6">
        <v>2759.26</v>
      </c>
      <c r="L117" s="4" t="str">
        <f t="shared" si="1"/>
        <v>Feb-2025</v>
      </c>
    </row>
    <row r="118" ht="15.75" customHeight="1">
      <c r="A118" s="4" t="s">
        <v>249</v>
      </c>
      <c r="B118" s="5">
        <v>45692.0</v>
      </c>
      <c r="C118" s="4" t="s">
        <v>32</v>
      </c>
      <c r="D118" s="4" t="s">
        <v>19</v>
      </c>
      <c r="E118" s="4" t="s">
        <v>29</v>
      </c>
      <c r="F118" s="4" t="s">
        <v>250</v>
      </c>
      <c r="G118" s="4">
        <v>4.0</v>
      </c>
      <c r="H118" s="6">
        <v>42323.57</v>
      </c>
      <c r="I118" s="6">
        <v>169294.28</v>
      </c>
      <c r="J118" s="6">
        <v>150075.75</v>
      </c>
      <c r="K118" s="6">
        <v>19218.53</v>
      </c>
      <c r="L118" s="4" t="str">
        <f t="shared" si="1"/>
        <v>Feb-2025</v>
      </c>
    </row>
    <row r="119" ht="15.75" customHeight="1">
      <c r="A119" s="4" t="s">
        <v>251</v>
      </c>
      <c r="B119" s="5">
        <v>45694.0</v>
      </c>
      <c r="C119" s="4" t="s">
        <v>50</v>
      </c>
      <c r="D119" s="4" t="s">
        <v>42</v>
      </c>
      <c r="E119" s="4" t="s">
        <v>29</v>
      </c>
      <c r="F119" s="4" t="s">
        <v>252</v>
      </c>
      <c r="G119" s="4">
        <v>7.0</v>
      </c>
      <c r="H119" s="6">
        <v>1827.34</v>
      </c>
      <c r="I119" s="6">
        <v>12791.38</v>
      </c>
      <c r="J119" s="6">
        <v>9810.18</v>
      </c>
      <c r="K119" s="6">
        <v>2981.2</v>
      </c>
      <c r="L119" s="4" t="str">
        <f t="shared" si="1"/>
        <v>Feb-2025</v>
      </c>
    </row>
    <row r="120" ht="15.75" customHeight="1">
      <c r="A120" s="4" t="s">
        <v>253</v>
      </c>
      <c r="B120" s="5">
        <v>45694.0</v>
      </c>
      <c r="C120" s="4" t="s">
        <v>18</v>
      </c>
      <c r="D120" s="4" t="s">
        <v>19</v>
      </c>
      <c r="E120" s="4" t="s">
        <v>25</v>
      </c>
      <c r="F120" s="4" t="s">
        <v>254</v>
      </c>
      <c r="G120" s="4">
        <v>5.0</v>
      </c>
      <c r="H120" s="6">
        <v>67170.41</v>
      </c>
      <c r="I120" s="6">
        <v>335852.05</v>
      </c>
      <c r="J120" s="6">
        <v>269025.2</v>
      </c>
      <c r="K120" s="6">
        <v>66826.85</v>
      </c>
      <c r="L120" s="4" t="str">
        <f t="shared" si="1"/>
        <v>Feb-2025</v>
      </c>
    </row>
    <row r="121" ht="15.75" customHeight="1">
      <c r="A121" s="4" t="s">
        <v>255</v>
      </c>
      <c r="B121" s="5">
        <v>45694.0</v>
      </c>
      <c r="C121" s="4" t="s">
        <v>75</v>
      </c>
      <c r="D121" s="4" t="s">
        <v>24</v>
      </c>
      <c r="E121" s="4" t="s">
        <v>29</v>
      </c>
      <c r="F121" s="4" t="s">
        <v>256</v>
      </c>
      <c r="G121" s="4">
        <v>6.0</v>
      </c>
      <c r="H121" s="6">
        <v>8098.68</v>
      </c>
      <c r="I121" s="6">
        <v>48592.08</v>
      </c>
      <c r="J121" s="6">
        <v>42064.01</v>
      </c>
      <c r="K121" s="6">
        <v>6528.07</v>
      </c>
      <c r="L121" s="4" t="str">
        <f t="shared" si="1"/>
        <v>Feb-2025</v>
      </c>
    </row>
    <row r="122" ht="15.75" customHeight="1">
      <c r="A122" s="4" t="s">
        <v>257</v>
      </c>
      <c r="B122" s="5">
        <v>45694.0</v>
      </c>
      <c r="C122" s="4" t="s">
        <v>13</v>
      </c>
      <c r="D122" s="4" t="s">
        <v>14</v>
      </c>
      <c r="E122" s="4" t="s">
        <v>25</v>
      </c>
      <c r="F122" s="2" t="s">
        <v>258</v>
      </c>
      <c r="G122" s="4">
        <v>2.0</v>
      </c>
      <c r="H122" s="6">
        <v>375.98</v>
      </c>
      <c r="I122" s="6">
        <v>751.96</v>
      </c>
      <c r="J122" s="6">
        <v>540.55</v>
      </c>
      <c r="K122" s="6">
        <v>211.41</v>
      </c>
      <c r="L122" s="4" t="str">
        <f t="shared" si="1"/>
        <v>Feb-2025</v>
      </c>
    </row>
    <row r="123" ht="15.75" customHeight="1">
      <c r="A123" s="4" t="s">
        <v>259</v>
      </c>
      <c r="B123" s="5">
        <v>45695.0</v>
      </c>
      <c r="C123" s="4" t="s">
        <v>32</v>
      </c>
      <c r="D123" s="4" t="s">
        <v>19</v>
      </c>
      <c r="E123" s="4" t="s">
        <v>29</v>
      </c>
      <c r="F123" s="4" t="s">
        <v>162</v>
      </c>
      <c r="G123" s="4">
        <v>3.0</v>
      </c>
      <c r="H123" s="6">
        <v>38369.71</v>
      </c>
      <c r="I123" s="6">
        <v>115109.13</v>
      </c>
      <c r="J123" s="6">
        <v>101060.11</v>
      </c>
      <c r="K123" s="6">
        <v>14049.02</v>
      </c>
      <c r="L123" s="4" t="str">
        <f t="shared" si="1"/>
        <v>Feb-2025</v>
      </c>
    </row>
    <row r="124" ht="15.75" customHeight="1">
      <c r="A124" s="4" t="s">
        <v>260</v>
      </c>
      <c r="B124" s="5">
        <v>45695.0</v>
      </c>
      <c r="C124" s="4" t="s">
        <v>28</v>
      </c>
      <c r="D124" s="4" t="s">
        <v>14</v>
      </c>
      <c r="E124" s="4" t="s">
        <v>20</v>
      </c>
      <c r="F124" s="4" t="s">
        <v>76</v>
      </c>
      <c r="G124" s="4">
        <v>5.0</v>
      </c>
      <c r="H124" s="6">
        <v>102.43</v>
      </c>
      <c r="I124" s="6">
        <v>512.15</v>
      </c>
      <c r="J124" s="6">
        <v>403.97</v>
      </c>
      <c r="K124" s="6">
        <v>108.18</v>
      </c>
      <c r="L124" s="4" t="str">
        <f t="shared" si="1"/>
        <v>Feb-2025</v>
      </c>
    </row>
    <row r="125" ht="15.75" customHeight="1">
      <c r="A125" s="4" t="s">
        <v>261</v>
      </c>
      <c r="B125" s="5">
        <v>45696.0</v>
      </c>
      <c r="C125" s="4" t="s">
        <v>35</v>
      </c>
      <c r="D125" s="4" t="s">
        <v>14</v>
      </c>
      <c r="E125" s="4" t="s">
        <v>25</v>
      </c>
      <c r="F125" s="4" t="s">
        <v>150</v>
      </c>
      <c r="G125" s="4">
        <v>5.0</v>
      </c>
      <c r="H125" s="6">
        <v>1436.08</v>
      </c>
      <c r="I125" s="6">
        <v>7180.4</v>
      </c>
      <c r="J125" s="6">
        <v>5070.42</v>
      </c>
      <c r="K125" s="6">
        <v>2109.98</v>
      </c>
      <c r="L125" s="4" t="str">
        <f t="shared" si="1"/>
        <v>Feb-2025</v>
      </c>
    </row>
    <row r="126" ht="15.75" customHeight="1">
      <c r="A126" s="4" t="s">
        <v>262</v>
      </c>
      <c r="B126" s="5">
        <v>45696.0</v>
      </c>
      <c r="C126" s="4" t="s">
        <v>38</v>
      </c>
      <c r="D126" s="4" t="s">
        <v>19</v>
      </c>
      <c r="E126" s="4" t="s">
        <v>20</v>
      </c>
      <c r="F126" s="4" t="s">
        <v>39</v>
      </c>
      <c r="G126" s="4">
        <v>3.0</v>
      </c>
      <c r="H126" s="6">
        <v>2141.62</v>
      </c>
      <c r="I126" s="6">
        <v>6424.86</v>
      </c>
      <c r="J126" s="6">
        <v>5602.22</v>
      </c>
      <c r="K126" s="6">
        <v>822.64</v>
      </c>
      <c r="L126" s="4" t="str">
        <f t="shared" si="1"/>
        <v>Feb-2025</v>
      </c>
    </row>
    <row r="127" ht="15.75" customHeight="1">
      <c r="A127" s="4" t="s">
        <v>263</v>
      </c>
      <c r="B127" s="5">
        <v>45697.0</v>
      </c>
      <c r="C127" s="4" t="s">
        <v>13</v>
      </c>
      <c r="D127" s="4" t="s">
        <v>14</v>
      </c>
      <c r="E127" s="4" t="s">
        <v>20</v>
      </c>
      <c r="F127" s="4" t="s">
        <v>264</v>
      </c>
      <c r="G127" s="4">
        <v>7.0</v>
      </c>
      <c r="H127" s="6">
        <v>568.74</v>
      </c>
      <c r="I127" s="6">
        <v>3981.18</v>
      </c>
      <c r="J127" s="6">
        <v>3305.93</v>
      </c>
      <c r="K127" s="6">
        <v>675.25</v>
      </c>
      <c r="L127" s="4" t="str">
        <f t="shared" si="1"/>
        <v>Feb-2025</v>
      </c>
    </row>
    <row r="128" ht="15.75" customHeight="1">
      <c r="A128" s="4" t="s">
        <v>265</v>
      </c>
      <c r="B128" s="5">
        <v>45697.0</v>
      </c>
      <c r="C128" s="4" t="s">
        <v>140</v>
      </c>
      <c r="D128" s="4" t="s">
        <v>14</v>
      </c>
      <c r="E128" s="4" t="s">
        <v>20</v>
      </c>
      <c r="F128" s="4" t="s">
        <v>266</v>
      </c>
      <c r="G128" s="4">
        <v>7.0</v>
      </c>
      <c r="H128" s="6">
        <v>665.63</v>
      </c>
      <c r="I128" s="6">
        <v>4659.41</v>
      </c>
      <c r="J128" s="6">
        <v>3542.7</v>
      </c>
      <c r="K128" s="6">
        <v>1116.71</v>
      </c>
      <c r="L128" s="4" t="str">
        <f t="shared" si="1"/>
        <v>Feb-2025</v>
      </c>
    </row>
    <row r="129" ht="15.75" customHeight="1">
      <c r="A129" s="4" t="s">
        <v>267</v>
      </c>
      <c r="B129" s="5">
        <v>45697.0</v>
      </c>
      <c r="C129" s="4" t="s">
        <v>47</v>
      </c>
      <c r="D129" s="4" t="s">
        <v>14</v>
      </c>
      <c r="E129" s="4" t="s">
        <v>29</v>
      </c>
      <c r="F129" s="4" t="s">
        <v>268</v>
      </c>
      <c r="G129" s="4">
        <v>1.0</v>
      </c>
      <c r="H129" s="6">
        <v>416.64</v>
      </c>
      <c r="I129" s="6">
        <v>416.64</v>
      </c>
      <c r="J129" s="6">
        <v>295.81</v>
      </c>
      <c r="K129" s="6">
        <v>120.83</v>
      </c>
      <c r="L129" s="4" t="str">
        <f t="shared" si="1"/>
        <v>Feb-2025</v>
      </c>
    </row>
    <row r="130" ht="15.75" customHeight="1">
      <c r="A130" s="4" t="s">
        <v>269</v>
      </c>
      <c r="B130" s="5">
        <v>45697.0</v>
      </c>
      <c r="C130" s="4" t="s">
        <v>66</v>
      </c>
      <c r="D130" s="4" t="s">
        <v>42</v>
      </c>
      <c r="E130" s="4" t="s">
        <v>15</v>
      </c>
      <c r="F130" s="4" t="s">
        <v>270</v>
      </c>
      <c r="G130" s="4">
        <v>5.0</v>
      </c>
      <c r="H130" s="6">
        <v>3722.77</v>
      </c>
      <c r="I130" s="6">
        <v>18613.85</v>
      </c>
      <c r="J130" s="6">
        <v>16313.16</v>
      </c>
      <c r="K130" s="6">
        <v>2300.69</v>
      </c>
      <c r="L130" s="4" t="str">
        <f t="shared" si="1"/>
        <v>Feb-2025</v>
      </c>
    </row>
    <row r="131" ht="15.75" customHeight="1">
      <c r="A131" s="4" t="s">
        <v>271</v>
      </c>
      <c r="B131" s="5">
        <v>45697.0</v>
      </c>
      <c r="C131" s="4" t="s">
        <v>13</v>
      </c>
      <c r="D131" s="4" t="s">
        <v>14</v>
      </c>
      <c r="E131" s="4" t="s">
        <v>15</v>
      </c>
      <c r="F131" s="4" t="s">
        <v>121</v>
      </c>
      <c r="G131" s="4">
        <v>2.0</v>
      </c>
      <c r="H131" s="6">
        <v>666.03</v>
      </c>
      <c r="I131" s="6">
        <v>1332.06</v>
      </c>
      <c r="J131" s="6">
        <v>1089.7</v>
      </c>
      <c r="K131" s="6">
        <v>242.36</v>
      </c>
      <c r="L131" s="4" t="str">
        <f t="shared" si="1"/>
        <v>Feb-2025</v>
      </c>
    </row>
    <row r="132" ht="15.75" customHeight="1">
      <c r="A132" s="4" t="s">
        <v>272</v>
      </c>
      <c r="B132" s="5">
        <v>45697.0</v>
      </c>
      <c r="C132" s="4" t="s">
        <v>18</v>
      </c>
      <c r="D132" s="4" t="s">
        <v>19</v>
      </c>
      <c r="E132" s="4" t="s">
        <v>25</v>
      </c>
      <c r="F132" s="4" t="s">
        <v>236</v>
      </c>
      <c r="G132" s="4">
        <v>6.0</v>
      </c>
      <c r="H132" s="6">
        <v>58703.12</v>
      </c>
      <c r="I132" s="6">
        <v>352218.72</v>
      </c>
      <c r="J132" s="6">
        <v>303908.3</v>
      </c>
      <c r="K132" s="6">
        <v>48310.42</v>
      </c>
      <c r="L132" s="4" t="str">
        <f t="shared" si="1"/>
        <v>Feb-2025</v>
      </c>
    </row>
    <row r="133" ht="15.75" customHeight="1">
      <c r="A133" s="4" t="s">
        <v>273</v>
      </c>
      <c r="B133" s="5">
        <v>45698.0</v>
      </c>
      <c r="C133" s="4" t="s">
        <v>180</v>
      </c>
      <c r="D133" s="4" t="s">
        <v>19</v>
      </c>
      <c r="E133" s="4" t="s">
        <v>15</v>
      </c>
      <c r="F133" s="4" t="s">
        <v>274</v>
      </c>
      <c r="G133" s="4">
        <v>7.0</v>
      </c>
      <c r="H133" s="6">
        <v>54683.26</v>
      </c>
      <c r="I133" s="6">
        <v>382782.82</v>
      </c>
      <c r="J133" s="6">
        <v>313491.84</v>
      </c>
      <c r="K133" s="6">
        <v>69290.98</v>
      </c>
      <c r="L133" s="4" t="str">
        <f t="shared" si="1"/>
        <v>Feb-2025</v>
      </c>
    </row>
    <row r="134" ht="15.75" customHeight="1">
      <c r="A134" s="4" t="s">
        <v>275</v>
      </c>
      <c r="B134" s="5">
        <v>45698.0</v>
      </c>
      <c r="C134" s="4" t="s">
        <v>13</v>
      </c>
      <c r="D134" s="4" t="s">
        <v>14</v>
      </c>
      <c r="E134" s="4" t="s">
        <v>29</v>
      </c>
      <c r="F134" s="4" t="s">
        <v>67</v>
      </c>
      <c r="G134" s="4">
        <v>4.0</v>
      </c>
      <c r="H134" s="6">
        <v>1243.68</v>
      </c>
      <c r="I134" s="6">
        <v>4974.72</v>
      </c>
      <c r="J134" s="6">
        <v>4225.87</v>
      </c>
      <c r="K134" s="6">
        <v>748.85</v>
      </c>
      <c r="L134" s="4" t="str">
        <f t="shared" si="1"/>
        <v>Feb-2025</v>
      </c>
    </row>
    <row r="135" ht="15.75" customHeight="1">
      <c r="A135" s="4" t="s">
        <v>276</v>
      </c>
      <c r="B135" s="5">
        <v>45698.0</v>
      </c>
      <c r="C135" s="4" t="s">
        <v>69</v>
      </c>
      <c r="D135" s="4" t="s">
        <v>19</v>
      </c>
      <c r="E135" s="4" t="s">
        <v>20</v>
      </c>
      <c r="F135" s="4" t="s">
        <v>26</v>
      </c>
      <c r="G135" s="4">
        <v>4.0</v>
      </c>
      <c r="H135" s="6">
        <v>65891.17</v>
      </c>
      <c r="I135" s="6">
        <v>263564.68</v>
      </c>
      <c r="J135" s="6">
        <v>214733.68</v>
      </c>
      <c r="K135" s="6">
        <v>48831.0</v>
      </c>
      <c r="L135" s="4" t="str">
        <f t="shared" si="1"/>
        <v>Feb-2025</v>
      </c>
    </row>
    <row r="136" ht="15.75" customHeight="1">
      <c r="A136" s="4" t="s">
        <v>277</v>
      </c>
      <c r="B136" s="5">
        <v>45699.0</v>
      </c>
      <c r="C136" s="4" t="s">
        <v>28</v>
      </c>
      <c r="D136" s="4" t="s">
        <v>14</v>
      </c>
      <c r="E136" s="4" t="s">
        <v>15</v>
      </c>
      <c r="F136" s="4" t="s">
        <v>245</v>
      </c>
      <c r="G136" s="4">
        <v>5.0</v>
      </c>
      <c r="H136" s="6">
        <v>470.56</v>
      </c>
      <c r="I136" s="6">
        <v>2352.8</v>
      </c>
      <c r="J136" s="6">
        <v>1931.98</v>
      </c>
      <c r="K136" s="6">
        <v>420.82</v>
      </c>
      <c r="L136" s="4" t="str">
        <f t="shared" si="1"/>
        <v>Feb-2025</v>
      </c>
    </row>
    <row r="137" ht="15.75" customHeight="1">
      <c r="A137" s="4" t="s">
        <v>278</v>
      </c>
      <c r="B137" s="5">
        <v>45699.0</v>
      </c>
      <c r="C137" s="4" t="s">
        <v>66</v>
      </c>
      <c r="D137" s="4" t="s">
        <v>42</v>
      </c>
      <c r="E137" s="4" t="s">
        <v>25</v>
      </c>
      <c r="F137" s="4" t="s">
        <v>279</v>
      </c>
      <c r="G137" s="4">
        <v>7.0</v>
      </c>
      <c r="H137" s="6">
        <v>4477.47</v>
      </c>
      <c r="I137" s="6">
        <v>31342.29</v>
      </c>
      <c r="J137" s="6">
        <v>27972.17</v>
      </c>
      <c r="K137" s="6">
        <v>3370.12</v>
      </c>
      <c r="L137" s="4" t="str">
        <f t="shared" si="1"/>
        <v>Feb-2025</v>
      </c>
    </row>
    <row r="138" ht="15.75" customHeight="1">
      <c r="A138" s="4" t="s">
        <v>280</v>
      </c>
      <c r="B138" s="5">
        <v>45699.0</v>
      </c>
      <c r="C138" s="4" t="s">
        <v>92</v>
      </c>
      <c r="D138" s="4" t="s">
        <v>14</v>
      </c>
      <c r="E138" s="4" t="s">
        <v>15</v>
      </c>
      <c r="F138" s="4" t="s">
        <v>238</v>
      </c>
      <c r="G138" s="4">
        <v>5.0</v>
      </c>
      <c r="H138" s="6">
        <v>1295.11</v>
      </c>
      <c r="I138" s="6">
        <v>6475.55</v>
      </c>
      <c r="J138" s="6">
        <v>5342.73</v>
      </c>
      <c r="K138" s="6">
        <v>1132.82</v>
      </c>
      <c r="L138" s="4" t="str">
        <f t="shared" si="1"/>
        <v>Feb-2025</v>
      </c>
    </row>
    <row r="139" ht="15.75" customHeight="1">
      <c r="A139" s="4" t="s">
        <v>281</v>
      </c>
      <c r="B139" s="5">
        <v>45699.0</v>
      </c>
      <c r="C139" s="4" t="s">
        <v>41</v>
      </c>
      <c r="D139" s="4" t="s">
        <v>42</v>
      </c>
      <c r="E139" s="4" t="s">
        <v>29</v>
      </c>
      <c r="F139" s="4" t="s">
        <v>282</v>
      </c>
      <c r="G139" s="4">
        <v>5.0</v>
      </c>
      <c r="H139" s="6">
        <v>1134.19</v>
      </c>
      <c r="I139" s="6">
        <v>5670.95</v>
      </c>
      <c r="J139" s="6">
        <v>4281.78</v>
      </c>
      <c r="K139" s="6">
        <v>1389.17</v>
      </c>
      <c r="L139" s="4" t="str">
        <f t="shared" si="1"/>
        <v>Feb-2025</v>
      </c>
    </row>
    <row r="140" ht="15.75" customHeight="1">
      <c r="A140" s="4" t="s">
        <v>283</v>
      </c>
      <c r="B140" s="5">
        <v>45699.0</v>
      </c>
      <c r="C140" s="4" t="s">
        <v>102</v>
      </c>
      <c r="D140" s="4" t="s">
        <v>24</v>
      </c>
      <c r="E140" s="4" t="s">
        <v>29</v>
      </c>
      <c r="F140" s="4" t="s">
        <v>270</v>
      </c>
      <c r="G140" s="4">
        <v>5.0</v>
      </c>
      <c r="H140" s="6">
        <v>3003.41</v>
      </c>
      <c r="I140" s="6">
        <v>15017.05</v>
      </c>
      <c r="J140" s="6">
        <v>11632.35</v>
      </c>
      <c r="K140" s="6">
        <v>3384.7</v>
      </c>
      <c r="L140" s="4" t="str">
        <f t="shared" si="1"/>
        <v>Feb-2025</v>
      </c>
    </row>
    <row r="141" ht="15.75" customHeight="1">
      <c r="A141" s="4" t="s">
        <v>284</v>
      </c>
      <c r="B141" s="5">
        <v>45699.0</v>
      </c>
      <c r="C141" s="4" t="s">
        <v>109</v>
      </c>
      <c r="D141" s="4" t="s">
        <v>42</v>
      </c>
      <c r="E141" s="4" t="s">
        <v>20</v>
      </c>
      <c r="F141" s="4" t="s">
        <v>67</v>
      </c>
      <c r="G141" s="4">
        <v>7.0</v>
      </c>
      <c r="H141" s="6">
        <v>1828.75</v>
      </c>
      <c r="I141" s="6">
        <v>12801.25</v>
      </c>
      <c r="J141" s="6">
        <v>10226.88</v>
      </c>
      <c r="K141" s="6">
        <v>2574.37</v>
      </c>
      <c r="L141" s="4" t="str">
        <f t="shared" si="1"/>
        <v>Feb-2025</v>
      </c>
    </row>
    <row r="142" ht="15.75" customHeight="1">
      <c r="A142" s="4" t="s">
        <v>285</v>
      </c>
      <c r="B142" s="5">
        <v>45700.0</v>
      </c>
      <c r="C142" s="4" t="s">
        <v>47</v>
      </c>
      <c r="D142" s="4" t="s">
        <v>14</v>
      </c>
      <c r="E142" s="4" t="s">
        <v>20</v>
      </c>
      <c r="F142" s="4" t="s">
        <v>286</v>
      </c>
      <c r="G142" s="4">
        <v>4.0</v>
      </c>
      <c r="H142" s="6">
        <v>849.02</v>
      </c>
      <c r="I142" s="6">
        <v>3396.08</v>
      </c>
      <c r="J142" s="6">
        <v>2714.58</v>
      </c>
      <c r="K142" s="6">
        <v>681.5</v>
      </c>
      <c r="L142" s="4" t="str">
        <f t="shared" si="1"/>
        <v>Feb-2025</v>
      </c>
    </row>
    <row r="143" ht="15.75" customHeight="1">
      <c r="A143" s="4" t="s">
        <v>287</v>
      </c>
      <c r="B143" s="5">
        <v>45700.0</v>
      </c>
      <c r="C143" s="4" t="s">
        <v>13</v>
      </c>
      <c r="D143" s="4" t="s">
        <v>14</v>
      </c>
      <c r="E143" s="4" t="s">
        <v>15</v>
      </c>
      <c r="F143" s="4" t="s">
        <v>288</v>
      </c>
      <c r="G143" s="4">
        <v>1.0</v>
      </c>
      <c r="H143" s="6">
        <v>585.13</v>
      </c>
      <c r="I143" s="6">
        <v>585.13</v>
      </c>
      <c r="J143" s="6">
        <v>438.65</v>
      </c>
      <c r="K143" s="6">
        <v>146.48</v>
      </c>
      <c r="L143" s="4" t="str">
        <f t="shared" si="1"/>
        <v>Feb-2025</v>
      </c>
    </row>
    <row r="144" ht="15.75" customHeight="1">
      <c r="A144" s="4" t="s">
        <v>289</v>
      </c>
      <c r="B144" s="5">
        <v>45700.0</v>
      </c>
      <c r="C144" s="4" t="s">
        <v>38</v>
      </c>
      <c r="D144" s="4" t="s">
        <v>19</v>
      </c>
      <c r="E144" s="4" t="s">
        <v>29</v>
      </c>
      <c r="F144" s="4" t="s">
        <v>250</v>
      </c>
      <c r="G144" s="4">
        <v>1.0</v>
      </c>
      <c r="H144" s="6">
        <v>12091.36</v>
      </c>
      <c r="I144" s="6">
        <v>12091.36</v>
      </c>
      <c r="J144" s="6">
        <v>10867.75</v>
      </c>
      <c r="K144" s="6">
        <v>1223.61</v>
      </c>
      <c r="L144" s="4" t="str">
        <f t="shared" si="1"/>
        <v>Feb-2025</v>
      </c>
    </row>
    <row r="145" ht="15.75" customHeight="1">
      <c r="A145" s="4" t="s">
        <v>290</v>
      </c>
      <c r="B145" s="5">
        <v>45700.0</v>
      </c>
      <c r="C145" s="4" t="s">
        <v>92</v>
      </c>
      <c r="D145" s="4" t="s">
        <v>14</v>
      </c>
      <c r="E145" s="4" t="s">
        <v>25</v>
      </c>
      <c r="F145" s="4" t="s">
        <v>291</v>
      </c>
      <c r="G145" s="4">
        <v>6.0</v>
      </c>
      <c r="H145" s="6">
        <v>1044.27</v>
      </c>
      <c r="I145" s="6">
        <v>6265.62</v>
      </c>
      <c r="J145" s="6">
        <v>4310.11</v>
      </c>
      <c r="K145" s="6">
        <v>1955.51</v>
      </c>
      <c r="L145" s="4" t="str">
        <f t="shared" si="1"/>
        <v>Feb-2025</v>
      </c>
    </row>
    <row r="146" ht="15.75" customHeight="1">
      <c r="A146" s="4" t="s">
        <v>292</v>
      </c>
      <c r="B146" s="5">
        <v>45702.0</v>
      </c>
      <c r="C146" s="4" t="s">
        <v>92</v>
      </c>
      <c r="D146" s="4" t="s">
        <v>14</v>
      </c>
      <c r="E146" s="4" t="s">
        <v>15</v>
      </c>
      <c r="F146" s="4" t="s">
        <v>293</v>
      </c>
      <c r="G146" s="4">
        <v>2.0</v>
      </c>
      <c r="H146" s="6">
        <v>203.46</v>
      </c>
      <c r="I146" s="6">
        <v>406.92</v>
      </c>
      <c r="J146" s="6">
        <v>284.89</v>
      </c>
      <c r="K146" s="6">
        <v>122.03</v>
      </c>
      <c r="L146" s="4" t="str">
        <f t="shared" si="1"/>
        <v>Feb-2025</v>
      </c>
    </row>
    <row r="147" ht="15.75" customHeight="1">
      <c r="A147" s="4" t="s">
        <v>294</v>
      </c>
      <c r="B147" s="5">
        <v>45702.0</v>
      </c>
      <c r="C147" s="4" t="s">
        <v>155</v>
      </c>
      <c r="D147" s="4" t="s">
        <v>24</v>
      </c>
      <c r="E147" s="4" t="s">
        <v>25</v>
      </c>
      <c r="F147" s="4" t="s">
        <v>295</v>
      </c>
      <c r="G147" s="4">
        <v>3.0</v>
      </c>
      <c r="H147" s="6">
        <v>4313.35</v>
      </c>
      <c r="I147" s="6">
        <v>12940.05</v>
      </c>
      <c r="J147" s="6">
        <v>10529.78</v>
      </c>
      <c r="K147" s="6">
        <v>2410.27</v>
      </c>
      <c r="L147" s="4" t="str">
        <f t="shared" si="1"/>
        <v>Feb-2025</v>
      </c>
    </row>
    <row r="148" ht="15.75" customHeight="1">
      <c r="A148" s="4" t="s">
        <v>296</v>
      </c>
      <c r="B148" s="5">
        <v>45702.0</v>
      </c>
      <c r="C148" s="4" t="s">
        <v>13</v>
      </c>
      <c r="D148" s="4" t="s">
        <v>14</v>
      </c>
      <c r="E148" s="4" t="s">
        <v>20</v>
      </c>
      <c r="F148" s="4" t="s">
        <v>297</v>
      </c>
      <c r="G148" s="4">
        <v>5.0</v>
      </c>
      <c r="H148" s="6">
        <v>1031.8</v>
      </c>
      <c r="I148" s="6">
        <v>5159.0</v>
      </c>
      <c r="J148" s="6">
        <v>3651.06</v>
      </c>
      <c r="K148" s="6">
        <v>1507.94</v>
      </c>
      <c r="L148" s="4" t="str">
        <f t="shared" si="1"/>
        <v>Feb-2025</v>
      </c>
    </row>
    <row r="149" ht="15.75" customHeight="1">
      <c r="A149" s="4" t="s">
        <v>298</v>
      </c>
      <c r="B149" s="5">
        <v>45702.0</v>
      </c>
      <c r="C149" s="4" t="s">
        <v>92</v>
      </c>
      <c r="D149" s="4" t="s">
        <v>14</v>
      </c>
      <c r="E149" s="4" t="s">
        <v>25</v>
      </c>
      <c r="F149" s="4" t="s">
        <v>86</v>
      </c>
      <c r="G149" s="4">
        <v>3.0</v>
      </c>
      <c r="H149" s="6">
        <v>926.15</v>
      </c>
      <c r="I149" s="6">
        <v>2778.45</v>
      </c>
      <c r="J149" s="6">
        <v>2237.7</v>
      </c>
      <c r="K149" s="6">
        <v>540.75</v>
      </c>
      <c r="L149" s="4" t="str">
        <f t="shared" si="1"/>
        <v>Feb-2025</v>
      </c>
    </row>
    <row r="150" ht="15.75" customHeight="1">
      <c r="A150" s="4" t="s">
        <v>299</v>
      </c>
      <c r="B150" s="5">
        <v>45702.0</v>
      </c>
      <c r="C150" s="4" t="s">
        <v>61</v>
      </c>
      <c r="D150" s="4" t="s">
        <v>19</v>
      </c>
      <c r="E150" s="4" t="s">
        <v>29</v>
      </c>
      <c r="F150" s="4" t="s">
        <v>129</v>
      </c>
      <c r="G150" s="4">
        <v>6.0</v>
      </c>
      <c r="H150" s="6">
        <v>7362.07</v>
      </c>
      <c r="I150" s="6">
        <v>44172.42</v>
      </c>
      <c r="J150" s="6">
        <v>35579.81</v>
      </c>
      <c r="K150" s="6">
        <v>8592.61</v>
      </c>
      <c r="L150" s="4" t="str">
        <f t="shared" si="1"/>
        <v>Feb-2025</v>
      </c>
    </row>
    <row r="151" ht="15.75" customHeight="1">
      <c r="A151" s="4" t="s">
        <v>300</v>
      </c>
      <c r="B151" s="5">
        <v>45703.0</v>
      </c>
      <c r="C151" s="4" t="s">
        <v>69</v>
      </c>
      <c r="D151" s="4" t="s">
        <v>19</v>
      </c>
      <c r="E151" s="4" t="s">
        <v>29</v>
      </c>
      <c r="F151" s="4" t="s">
        <v>199</v>
      </c>
      <c r="G151" s="4">
        <v>2.0</v>
      </c>
      <c r="H151" s="6">
        <v>54127.49</v>
      </c>
      <c r="I151" s="6">
        <v>108254.98</v>
      </c>
      <c r="J151" s="6">
        <v>91979.03</v>
      </c>
      <c r="K151" s="6">
        <v>16275.95</v>
      </c>
      <c r="L151" s="4" t="str">
        <f t="shared" si="1"/>
        <v>Feb-2025</v>
      </c>
    </row>
    <row r="152" ht="15.75" customHeight="1">
      <c r="A152" s="4" t="s">
        <v>301</v>
      </c>
      <c r="B152" s="5">
        <v>45703.0</v>
      </c>
      <c r="C152" s="4" t="s">
        <v>75</v>
      </c>
      <c r="D152" s="4" t="s">
        <v>24</v>
      </c>
      <c r="E152" s="4" t="s">
        <v>25</v>
      </c>
      <c r="F152" s="4" t="s">
        <v>302</v>
      </c>
      <c r="G152" s="4">
        <v>1.0</v>
      </c>
      <c r="H152" s="6">
        <v>5945.5</v>
      </c>
      <c r="I152" s="6">
        <v>5945.5</v>
      </c>
      <c r="J152" s="6">
        <v>4784.27</v>
      </c>
      <c r="K152" s="6">
        <v>1161.23</v>
      </c>
      <c r="L152" s="4" t="str">
        <f t="shared" si="1"/>
        <v>Feb-2025</v>
      </c>
    </row>
    <row r="153" ht="15.75" customHeight="1">
      <c r="A153" s="4" t="s">
        <v>303</v>
      </c>
      <c r="B153" s="5">
        <v>45704.0</v>
      </c>
      <c r="C153" s="4" t="s">
        <v>38</v>
      </c>
      <c r="D153" s="4" t="s">
        <v>19</v>
      </c>
      <c r="E153" s="4" t="s">
        <v>29</v>
      </c>
      <c r="F153" s="4" t="s">
        <v>304</v>
      </c>
      <c r="G153" s="4">
        <v>7.0</v>
      </c>
      <c r="H153" s="6">
        <v>44999.44</v>
      </c>
      <c r="I153" s="6">
        <v>314996.08</v>
      </c>
      <c r="J153" s="6">
        <v>286749.17</v>
      </c>
      <c r="K153" s="6">
        <v>28246.91</v>
      </c>
      <c r="L153" s="4" t="str">
        <f t="shared" si="1"/>
        <v>Feb-2025</v>
      </c>
    </row>
    <row r="154" ht="15.75" customHeight="1">
      <c r="A154" s="4" t="s">
        <v>305</v>
      </c>
      <c r="B154" s="5">
        <v>45705.0</v>
      </c>
      <c r="C154" s="4" t="s">
        <v>102</v>
      </c>
      <c r="D154" s="4" t="s">
        <v>24</v>
      </c>
      <c r="E154" s="4" t="s">
        <v>15</v>
      </c>
      <c r="F154" s="4" t="s">
        <v>270</v>
      </c>
      <c r="G154" s="4">
        <v>7.0</v>
      </c>
      <c r="H154" s="6">
        <v>17942.44</v>
      </c>
      <c r="I154" s="6">
        <v>125597.08</v>
      </c>
      <c r="J154" s="6">
        <v>100208.77</v>
      </c>
      <c r="K154" s="6">
        <v>25388.31</v>
      </c>
      <c r="L154" s="4" t="str">
        <f t="shared" si="1"/>
        <v>Feb-2025</v>
      </c>
    </row>
    <row r="155" ht="15.75" customHeight="1">
      <c r="A155" s="4" t="s">
        <v>306</v>
      </c>
      <c r="B155" s="5">
        <v>45707.0</v>
      </c>
      <c r="C155" s="4" t="s">
        <v>47</v>
      </c>
      <c r="D155" s="4" t="s">
        <v>14</v>
      </c>
      <c r="E155" s="4" t="s">
        <v>29</v>
      </c>
      <c r="F155" s="4" t="s">
        <v>307</v>
      </c>
      <c r="G155" s="4">
        <v>3.0</v>
      </c>
      <c r="H155" s="6">
        <v>1205.36</v>
      </c>
      <c r="I155" s="6">
        <v>3616.08</v>
      </c>
      <c r="J155" s="6">
        <v>2478.91</v>
      </c>
      <c r="K155" s="6">
        <v>1137.17</v>
      </c>
      <c r="L155" s="4" t="str">
        <f t="shared" si="1"/>
        <v>Feb-2025</v>
      </c>
    </row>
    <row r="156" ht="15.75" customHeight="1">
      <c r="A156" s="4" t="s">
        <v>308</v>
      </c>
      <c r="B156" s="5">
        <v>45707.0</v>
      </c>
      <c r="C156" s="4" t="s">
        <v>35</v>
      </c>
      <c r="D156" s="4" t="s">
        <v>14</v>
      </c>
      <c r="E156" s="4" t="s">
        <v>20</v>
      </c>
      <c r="F156" s="4" t="s">
        <v>309</v>
      </c>
      <c r="G156" s="4">
        <v>3.0</v>
      </c>
      <c r="H156" s="6">
        <v>85.08</v>
      </c>
      <c r="I156" s="6">
        <v>255.24</v>
      </c>
      <c r="J156" s="6">
        <v>194.47</v>
      </c>
      <c r="K156" s="6">
        <v>60.77</v>
      </c>
      <c r="L156" s="4" t="str">
        <f t="shared" si="1"/>
        <v>Feb-2025</v>
      </c>
    </row>
    <row r="157" ht="15.75" customHeight="1">
      <c r="A157" s="4" t="s">
        <v>310</v>
      </c>
      <c r="B157" s="5">
        <v>45707.0</v>
      </c>
      <c r="C157" s="4" t="s">
        <v>50</v>
      </c>
      <c r="D157" s="4" t="s">
        <v>42</v>
      </c>
      <c r="E157" s="4" t="s">
        <v>15</v>
      </c>
      <c r="F157" s="4" t="s">
        <v>311</v>
      </c>
      <c r="G157" s="4">
        <v>1.0</v>
      </c>
      <c r="H157" s="6">
        <v>2413.6</v>
      </c>
      <c r="I157" s="6">
        <v>2413.6</v>
      </c>
      <c r="J157" s="6">
        <v>1870.72</v>
      </c>
      <c r="K157" s="6">
        <v>542.88</v>
      </c>
      <c r="L157" s="4" t="str">
        <f t="shared" si="1"/>
        <v>Feb-2025</v>
      </c>
    </row>
    <row r="158" ht="15.75" customHeight="1">
      <c r="A158" s="4" t="s">
        <v>312</v>
      </c>
      <c r="B158" s="5">
        <v>45709.0</v>
      </c>
      <c r="C158" s="4" t="s">
        <v>61</v>
      </c>
      <c r="D158" s="4" t="s">
        <v>19</v>
      </c>
      <c r="E158" s="4" t="s">
        <v>20</v>
      </c>
      <c r="F158" s="4" t="s">
        <v>127</v>
      </c>
      <c r="G158" s="4">
        <v>5.0</v>
      </c>
      <c r="H158" s="6">
        <v>54402.92</v>
      </c>
      <c r="I158" s="6">
        <v>272014.6</v>
      </c>
      <c r="J158" s="6">
        <v>250012.15</v>
      </c>
      <c r="K158" s="6">
        <v>22002.45</v>
      </c>
      <c r="L158" s="4" t="str">
        <f t="shared" si="1"/>
        <v>Feb-2025</v>
      </c>
    </row>
    <row r="159" ht="15.75" customHeight="1">
      <c r="A159" s="4" t="s">
        <v>313</v>
      </c>
      <c r="B159" s="5">
        <v>45709.0</v>
      </c>
      <c r="C159" s="4" t="s">
        <v>32</v>
      </c>
      <c r="D159" s="4" t="s">
        <v>19</v>
      </c>
      <c r="E159" s="4" t="s">
        <v>15</v>
      </c>
      <c r="F159" s="4" t="s">
        <v>219</v>
      </c>
      <c r="G159" s="4">
        <v>3.0</v>
      </c>
      <c r="H159" s="6">
        <v>26481.16</v>
      </c>
      <c r="I159" s="6">
        <v>79443.48</v>
      </c>
      <c r="J159" s="6">
        <v>71442.48</v>
      </c>
      <c r="K159" s="6">
        <v>8001.0</v>
      </c>
      <c r="L159" s="4" t="str">
        <f t="shared" si="1"/>
        <v>Feb-2025</v>
      </c>
    </row>
    <row r="160" ht="15.75" customHeight="1">
      <c r="A160" s="4" t="s">
        <v>314</v>
      </c>
      <c r="B160" s="5">
        <v>45709.0</v>
      </c>
      <c r="C160" s="4" t="s">
        <v>140</v>
      </c>
      <c r="D160" s="4" t="s">
        <v>14</v>
      </c>
      <c r="E160" s="4" t="s">
        <v>15</v>
      </c>
      <c r="F160" s="4" t="s">
        <v>315</v>
      </c>
      <c r="G160" s="4">
        <v>5.0</v>
      </c>
      <c r="H160" s="6">
        <v>1214.39</v>
      </c>
      <c r="I160" s="6">
        <v>6071.95</v>
      </c>
      <c r="J160" s="6">
        <v>4531.15</v>
      </c>
      <c r="K160" s="6">
        <v>1540.8</v>
      </c>
      <c r="L160" s="4" t="str">
        <f t="shared" si="1"/>
        <v>Feb-2025</v>
      </c>
    </row>
    <row r="161" ht="15.75" customHeight="1">
      <c r="A161" s="4" t="s">
        <v>316</v>
      </c>
      <c r="B161" s="5">
        <v>45709.0</v>
      </c>
      <c r="C161" s="4" t="s">
        <v>109</v>
      </c>
      <c r="D161" s="4" t="s">
        <v>42</v>
      </c>
      <c r="E161" s="4" t="s">
        <v>29</v>
      </c>
      <c r="F161" s="4" t="s">
        <v>95</v>
      </c>
      <c r="G161" s="4">
        <v>5.0</v>
      </c>
      <c r="H161" s="6">
        <v>3482.45</v>
      </c>
      <c r="I161" s="6">
        <v>17412.25</v>
      </c>
      <c r="J161" s="6">
        <v>14396.91</v>
      </c>
      <c r="K161" s="6">
        <v>3015.34</v>
      </c>
      <c r="L161" s="4" t="str">
        <f t="shared" si="1"/>
        <v>Feb-2025</v>
      </c>
    </row>
    <row r="162" ht="15.75" customHeight="1">
      <c r="A162" s="4" t="s">
        <v>317</v>
      </c>
      <c r="B162" s="5">
        <v>45710.0</v>
      </c>
      <c r="C162" s="4" t="s">
        <v>18</v>
      </c>
      <c r="D162" s="4" t="s">
        <v>19</v>
      </c>
      <c r="E162" s="4" t="s">
        <v>25</v>
      </c>
      <c r="F162" s="4" t="s">
        <v>318</v>
      </c>
      <c r="G162" s="4">
        <v>6.0</v>
      </c>
      <c r="H162" s="6">
        <v>18760.5</v>
      </c>
      <c r="I162" s="6">
        <v>112563.0</v>
      </c>
      <c r="J162" s="6">
        <v>94479.05</v>
      </c>
      <c r="K162" s="6">
        <v>18083.95</v>
      </c>
      <c r="L162" s="4" t="str">
        <f t="shared" si="1"/>
        <v>Feb-2025</v>
      </c>
    </row>
    <row r="163" ht="15.75" customHeight="1">
      <c r="A163" s="4" t="s">
        <v>319</v>
      </c>
      <c r="B163" s="5">
        <v>45710.0</v>
      </c>
      <c r="C163" s="4" t="s">
        <v>28</v>
      </c>
      <c r="D163" s="4" t="s">
        <v>14</v>
      </c>
      <c r="E163" s="4" t="s">
        <v>29</v>
      </c>
      <c r="F163" s="4" t="s">
        <v>201</v>
      </c>
      <c r="G163" s="4">
        <v>1.0</v>
      </c>
      <c r="H163" s="6">
        <v>214.52</v>
      </c>
      <c r="I163" s="6">
        <v>214.52</v>
      </c>
      <c r="J163" s="6">
        <v>146.02</v>
      </c>
      <c r="K163" s="6">
        <v>68.5</v>
      </c>
      <c r="L163" s="4" t="str">
        <f t="shared" si="1"/>
        <v>Feb-2025</v>
      </c>
    </row>
    <row r="164" ht="15.75" customHeight="1">
      <c r="A164" s="4" t="s">
        <v>320</v>
      </c>
      <c r="B164" s="5">
        <v>45710.0</v>
      </c>
      <c r="C164" s="4" t="s">
        <v>32</v>
      </c>
      <c r="D164" s="4" t="s">
        <v>19</v>
      </c>
      <c r="E164" s="4" t="s">
        <v>29</v>
      </c>
      <c r="F164" s="4" t="s">
        <v>321</v>
      </c>
      <c r="G164" s="4">
        <v>6.0</v>
      </c>
      <c r="H164" s="6">
        <v>42596.04</v>
      </c>
      <c r="I164" s="6">
        <v>255576.24</v>
      </c>
      <c r="J164" s="6">
        <v>231451.26</v>
      </c>
      <c r="K164" s="6">
        <v>24124.98</v>
      </c>
      <c r="L164" s="4" t="str">
        <f t="shared" si="1"/>
        <v>Feb-2025</v>
      </c>
    </row>
    <row r="165" ht="15.75" customHeight="1">
      <c r="A165" s="4" t="s">
        <v>322</v>
      </c>
      <c r="B165" s="5">
        <v>45711.0</v>
      </c>
      <c r="C165" s="4" t="s">
        <v>72</v>
      </c>
      <c r="D165" s="4" t="s">
        <v>24</v>
      </c>
      <c r="E165" s="4" t="s">
        <v>15</v>
      </c>
      <c r="F165" s="4" t="s">
        <v>323</v>
      </c>
      <c r="G165" s="4">
        <v>4.0</v>
      </c>
      <c r="H165" s="6">
        <v>10136.4</v>
      </c>
      <c r="I165" s="6">
        <v>40545.6</v>
      </c>
      <c r="J165" s="6">
        <v>34516.01</v>
      </c>
      <c r="K165" s="6">
        <v>6029.59</v>
      </c>
      <c r="L165" s="4" t="str">
        <f t="shared" si="1"/>
        <v>Feb-2025</v>
      </c>
    </row>
    <row r="166" ht="15.75" customHeight="1">
      <c r="A166" s="4" t="s">
        <v>324</v>
      </c>
      <c r="B166" s="5">
        <v>45711.0</v>
      </c>
      <c r="C166" s="4" t="s">
        <v>140</v>
      </c>
      <c r="D166" s="4" t="s">
        <v>14</v>
      </c>
      <c r="E166" s="4" t="s">
        <v>29</v>
      </c>
      <c r="F166" s="4" t="s">
        <v>325</v>
      </c>
      <c r="G166" s="4">
        <v>6.0</v>
      </c>
      <c r="H166" s="6">
        <v>1435.65</v>
      </c>
      <c r="I166" s="6">
        <v>8613.9</v>
      </c>
      <c r="J166" s="6">
        <v>6966.98</v>
      </c>
      <c r="K166" s="6">
        <v>1646.92</v>
      </c>
      <c r="L166" s="4" t="str">
        <f t="shared" si="1"/>
        <v>Feb-2025</v>
      </c>
    </row>
    <row r="167" ht="15.75" customHeight="1">
      <c r="A167" s="4" t="s">
        <v>326</v>
      </c>
      <c r="B167" s="5">
        <v>45711.0</v>
      </c>
      <c r="C167" s="4" t="s">
        <v>23</v>
      </c>
      <c r="D167" s="4" t="s">
        <v>24</v>
      </c>
      <c r="E167" s="4" t="s">
        <v>29</v>
      </c>
      <c r="F167" s="4" t="s">
        <v>143</v>
      </c>
      <c r="G167" s="4">
        <v>3.0</v>
      </c>
      <c r="H167" s="6">
        <v>16119.8</v>
      </c>
      <c r="I167" s="6">
        <v>48359.4</v>
      </c>
      <c r="J167" s="6">
        <v>40080.06</v>
      </c>
      <c r="K167" s="6">
        <v>8279.34</v>
      </c>
      <c r="L167" s="4" t="str">
        <f t="shared" si="1"/>
        <v>Feb-2025</v>
      </c>
    </row>
    <row r="168" ht="15.75" customHeight="1">
      <c r="A168" s="4" t="s">
        <v>327</v>
      </c>
      <c r="B168" s="5">
        <v>45711.0</v>
      </c>
      <c r="C168" s="4" t="s">
        <v>23</v>
      </c>
      <c r="D168" s="4" t="s">
        <v>24</v>
      </c>
      <c r="E168" s="4" t="s">
        <v>15</v>
      </c>
      <c r="F168" s="4" t="s">
        <v>328</v>
      </c>
      <c r="G168" s="4">
        <v>6.0</v>
      </c>
      <c r="H168" s="6">
        <v>17023.83</v>
      </c>
      <c r="I168" s="6">
        <v>102142.98</v>
      </c>
      <c r="J168" s="6">
        <v>85155.53</v>
      </c>
      <c r="K168" s="6">
        <v>16987.45</v>
      </c>
      <c r="L168" s="4" t="str">
        <f t="shared" si="1"/>
        <v>Feb-2025</v>
      </c>
    </row>
    <row r="169" ht="15.75" customHeight="1">
      <c r="A169" s="4" t="s">
        <v>329</v>
      </c>
      <c r="B169" s="5">
        <v>45711.0</v>
      </c>
      <c r="C169" s="4" t="s">
        <v>66</v>
      </c>
      <c r="D169" s="4" t="s">
        <v>42</v>
      </c>
      <c r="E169" s="4" t="s">
        <v>29</v>
      </c>
      <c r="F169" s="4" t="s">
        <v>330</v>
      </c>
      <c r="G169" s="4">
        <v>6.0</v>
      </c>
      <c r="H169" s="6">
        <v>1171.91</v>
      </c>
      <c r="I169" s="6">
        <v>7031.46</v>
      </c>
      <c r="J169" s="6">
        <v>6171.28</v>
      </c>
      <c r="K169" s="6">
        <v>860.18</v>
      </c>
      <c r="L169" s="4" t="str">
        <f t="shared" si="1"/>
        <v>Feb-2025</v>
      </c>
    </row>
    <row r="170" ht="15.75" customHeight="1">
      <c r="A170" s="4" t="s">
        <v>331</v>
      </c>
      <c r="B170" s="5">
        <v>45712.0</v>
      </c>
      <c r="C170" s="4" t="s">
        <v>18</v>
      </c>
      <c r="D170" s="4" t="s">
        <v>19</v>
      </c>
      <c r="E170" s="4" t="s">
        <v>15</v>
      </c>
      <c r="F170" s="4" t="s">
        <v>332</v>
      </c>
      <c r="G170" s="4">
        <v>6.0</v>
      </c>
      <c r="H170" s="6">
        <v>36905.55</v>
      </c>
      <c r="I170" s="6">
        <v>221433.3</v>
      </c>
      <c r="J170" s="6">
        <v>187792.21</v>
      </c>
      <c r="K170" s="6">
        <v>33641.09</v>
      </c>
      <c r="L170" s="4" t="str">
        <f t="shared" si="1"/>
        <v>Feb-2025</v>
      </c>
    </row>
    <row r="171" ht="15.75" customHeight="1">
      <c r="A171" s="4" t="s">
        <v>333</v>
      </c>
      <c r="B171" s="5">
        <v>45712.0</v>
      </c>
      <c r="C171" s="4" t="s">
        <v>32</v>
      </c>
      <c r="D171" s="4" t="s">
        <v>19</v>
      </c>
      <c r="E171" s="4" t="s">
        <v>25</v>
      </c>
      <c r="F171" s="4" t="s">
        <v>334</v>
      </c>
      <c r="G171" s="4">
        <v>3.0</v>
      </c>
      <c r="H171" s="6">
        <v>32026.58</v>
      </c>
      <c r="I171" s="6">
        <v>96079.74</v>
      </c>
      <c r="J171" s="6">
        <v>77218.26</v>
      </c>
      <c r="K171" s="6">
        <v>18861.48</v>
      </c>
      <c r="L171" s="4" t="str">
        <f t="shared" si="1"/>
        <v>Feb-2025</v>
      </c>
    </row>
    <row r="172" ht="15.75" customHeight="1">
      <c r="A172" s="4" t="s">
        <v>335</v>
      </c>
      <c r="B172" s="5">
        <v>45712.0</v>
      </c>
      <c r="C172" s="4" t="s">
        <v>180</v>
      </c>
      <c r="D172" s="4" t="s">
        <v>19</v>
      </c>
      <c r="E172" s="4" t="s">
        <v>25</v>
      </c>
      <c r="F172" s="4" t="s">
        <v>51</v>
      </c>
      <c r="G172" s="4">
        <v>1.0</v>
      </c>
      <c r="H172" s="6">
        <v>53181.95</v>
      </c>
      <c r="I172" s="6">
        <v>53181.95</v>
      </c>
      <c r="J172" s="6">
        <v>45712.94</v>
      </c>
      <c r="K172" s="6">
        <v>7469.01</v>
      </c>
      <c r="L172" s="4" t="str">
        <f t="shared" si="1"/>
        <v>Feb-2025</v>
      </c>
    </row>
    <row r="173" ht="15.75" customHeight="1">
      <c r="A173" s="4" t="s">
        <v>336</v>
      </c>
      <c r="B173" s="5">
        <v>45713.0</v>
      </c>
      <c r="C173" s="4" t="s">
        <v>160</v>
      </c>
      <c r="D173" s="4" t="s">
        <v>42</v>
      </c>
      <c r="E173" s="4" t="s">
        <v>29</v>
      </c>
      <c r="F173" s="4" t="s">
        <v>33</v>
      </c>
      <c r="G173" s="4">
        <v>5.0</v>
      </c>
      <c r="H173" s="6">
        <v>4816.95</v>
      </c>
      <c r="I173" s="6">
        <v>24084.75</v>
      </c>
      <c r="J173" s="6">
        <v>19553.14</v>
      </c>
      <c r="K173" s="6">
        <v>4531.61</v>
      </c>
      <c r="L173" s="4" t="str">
        <f t="shared" si="1"/>
        <v>Feb-2025</v>
      </c>
    </row>
    <row r="174" ht="15.75" customHeight="1">
      <c r="A174" s="4" t="s">
        <v>337</v>
      </c>
      <c r="B174" s="5">
        <v>45713.0</v>
      </c>
      <c r="C174" s="4" t="s">
        <v>47</v>
      </c>
      <c r="D174" s="4" t="s">
        <v>14</v>
      </c>
      <c r="E174" s="4" t="s">
        <v>25</v>
      </c>
      <c r="F174" s="4" t="s">
        <v>338</v>
      </c>
      <c r="G174" s="4">
        <v>1.0</v>
      </c>
      <c r="H174" s="6">
        <v>152.28</v>
      </c>
      <c r="I174" s="6">
        <v>152.28</v>
      </c>
      <c r="J174" s="6">
        <v>108.18</v>
      </c>
      <c r="K174" s="6">
        <v>44.1</v>
      </c>
      <c r="L174" s="4" t="str">
        <f t="shared" si="1"/>
        <v>Feb-2025</v>
      </c>
    </row>
    <row r="175" ht="15.75" customHeight="1">
      <c r="A175" s="4" t="s">
        <v>339</v>
      </c>
      <c r="B175" s="5">
        <v>45713.0</v>
      </c>
      <c r="C175" s="4" t="s">
        <v>61</v>
      </c>
      <c r="D175" s="4" t="s">
        <v>19</v>
      </c>
      <c r="E175" s="4" t="s">
        <v>29</v>
      </c>
      <c r="F175" s="4" t="s">
        <v>340</v>
      </c>
      <c r="G175" s="4">
        <v>5.0</v>
      </c>
      <c r="H175" s="6">
        <v>22041.97</v>
      </c>
      <c r="I175" s="6">
        <v>110209.85</v>
      </c>
      <c r="J175" s="6">
        <v>98120.32</v>
      </c>
      <c r="K175" s="6">
        <v>12089.53</v>
      </c>
      <c r="L175" s="4" t="str">
        <f t="shared" si="1"/>
        <v>Feb-2025</v>
      </c>
    </row>
    <row r="176" ht="15.75" customHeight="1">
      <c r="A176" s="4" t="s">
        <v>341</v>
      </c>
      <c r="B176" s="5">
        <v>45714.0</v>
      </c>
      <c r="C176" s="4" t="s">
        <v>18</v>
      </c>
      <c r="D176" s="4" t="s">
        <v>19</v>
      </c>
      <c r="E176" s="4" t="s">
        <v>15</v>
      </c>
      <c r="F176" s="4" t="s">
        <v>119</v>
      </c>
      <c r="G176" s="4">
        <v>2.0</v>
      </c>
      <c r="H176" s="6">
        <v>41343.4</v>
      </c>
      <c r="I176" s="6">
        <v>82686.8</v>
      </c>
      <c r="J176" s="6">
        <v>73593.79</v>
      </c>
      <c r="K176" s="6">
        <v>9093.01</v>
      </c>
      <c r="L176" s="4" t="str">
        <f t="shared" si="1"/>
        <v>Feb-2025</v>
      </c>
    </row>
    <row r="177" ht="15.75" customHeight="1">
      <c r="A177" s="4" t="s">
        <v>342</v>
      </c>
      <c r="B177" s="5">
        <v>45714.0</v>
      </c>
      <c r="C177" s="4" t="s">
        <v>109</v>
      </c>
      <c r="D177" s="4" t="s">
        <v>42</v>
      </c>
      <c r="E177" s="4" t="s">
        <v>25</v>
      </c>
      <c r="F177" s="4" t="s">
        <v>343</v>
      </c>
      <c r="G177" s="4">
        <v>1.0</v>
      </c>
      <c r="H177" s="6">
        <v>2259.92</v>
      </c>
      <c r="I177" s="6">
        <v>2259.92</v>
      </c>
      <c r="J177" s="6">
        <v>1952.63</v>
      </c>
      <c r="K177" s="6">
        <v>307.29</v>
      </c>
      <c r="L177" s="4" t="str">
        <f t="shared" si="1"/>
        <v>Feb-2025</v>
      </c>
    </row>
    <row r="178" ht="15.75" customHeight="1">
      <c r="A178" s="4" t="s">
        <v>344</v>
      </c>
      <c r="B178" s="5">
        <v>45715.0</v>
      </c>
      <c r="C178" s="4" t="s">
        <v>160</v>
      </c>
      <c r="D178" s="4" t="s">
        <v>42</v>
      </c>
      <c r="E178" s="4" t="s">
        <v>20</v>
      </c>
      <c r="F178" s="4" t="s">
        <v>207</v>
      </c>
      <c r="G178" s="4">
        <v>4.0</v>
      </c>
      <c r="H178" s="6">
        <v>3268.62</v>
      </c>
      <c r="I178" s="6">
        <v>13074.48</v>
      </c>
      <c r="J178" s="6">
        <v>10916.1</v>
      </c>
      <c r="K178" s="6">
        <v>2158.38</v>
      </c>
      <c r="L178" s="4" t="str">
        <f t="shared" si="1"/>
        <v>Feb-2025</v>
      </c>
    </row>
    <row r="179" ht="15.75" customHeight="1">
      <c r="A179" s="4" t="s">
        <v>345</v>
      </c>
      <c r="B179" s="5">
        <v>45715.0</v>
      </c>
      <c r="C179" s="4" t="s">
        <v>72</v>
      </c>
      <c r="D179" s="4" t="s">
        <v>24</v>
      </c>
      <c r="E179" s="4" t="s">
        <v>25</v>
      </c>
      <c r="F179" s="4" t="s">
        <v>346</v>
      </c>
      <c r="G179" s="4">
        <v>1.0</v>
      </c>
      <c r="H179" s="6">
        <v>13654.72</v>
      </c>
      <c r="I179" s="6">
        <v>13654.72</v>
      </c>
      <c r="J179" s="6">
        <v>9850.12</v>
      </c>
      <c r="K179" s="6">
        <v>3804.6</v>
      </c>
      <c r="L179" s="4" t="str">
        <f t="shared" si="1"/>
        <v>Feb-2025</v>
      </c>
    </row>
    <row r="180" ht="15.75" customHeight="1">
      <c r="A180" s="4" t="s">
        <v>347</v>
      </c>
      <c r="B180" s="5">
        <v>45716.0</v>
      </c>
      <c r="C180" s="4" t="s">
        <v>160</v>
      </c>
      <c r="D180" s="4" t="s">
        <v>42</v>
      </c>
      <c r="E180" s="4" t="s">
        <v>25</v>
      </c>
      <c r="F180" s="4" t="s">
        <v>171</v>
      </c>
      <c r="G180" s="4">
        <v>6.0</v>
      </c>
      <c r="H180" s="6">
        <v>4638.24</v>
      </c>
      <c r="I180" s="6">
        <v>27829.44</v>
      </c>
      <c r="J180" s="6">
        <v>21511.93</v>
      </c>
      <c r="K180" s="6">
        <v>6317.51</v>
      </c>
      <c r="L180" s="4" t="str">
        <f t="shared" si="1"/>
        <v>Feb-2025</v>
      </c>
    </row>
    <row r="181" ht="15.75" customHeight="1">
      <c r="A181" s="4" t="s">
        <v>348</v>
      </c>
      <c r="B181" s="5">
        <v>45716.0</v>
      </c>
      <c r="C181" s="4" t="s">
        <v>38</v>
      </c>
      <c r="D181" s="4" t="s">
        <v>19</v>
      </c>
      <c r="E181" s="4" t="s">
        <v>25</v>
      </c>
      <c r="F181" s="4" t="s">
        <v>346</v>
      </c>
      <c r="G181" s="4">
        <v>4.0</v>
      </c>
      <c r="H181" s="6">
        <v>73052.66</v>
      </c>
      <c r="I181" s="6">
        <v>292210.64</v>
      </c>
      <c r="J181" s="6">
        <v>260671.6</v>
      </c>
      <c r="K181" s="6">
        <v>31539.04</v>
      </c>
      <c r="L181" s="4" t="str">
        <f t="shared" si="1"/>
        <v>Feb-2025</v>
      </c>
    </row>
    <row r="182" ht="15.75" customHeight="1">
      <c r="A182" s="4" t="s">
        <v>349</v>
      </c>
      <c r="B182" s="5">
        <v>45716.0</v>
      </c>
      <c r="C182" s="4" t="s">
        <v>23</v>
      </c>
      <c r="D182" s="4" t="s">
        <v>24</v>
      </c>
      <c r="E182" s="4" t="s">
        <v>15</v>
      </c>
      <c r="F182" s="4" t="s">
        <v>133</v>
      </c>
      <c r="G182" s="4">
        <v>4.0</v>
      </c>
      <c r="H182" s="6">
        <v>9959.87</v>
      </c>
      <c r="I182" s="6">
        <v>39839.48</v>
      </c>
      <c r="J182" s="6">
        <v>32896.8</v>
      </c>
      <c r="K182" s="6">
        <v>6942.68</v>
      </c>
      <c r="L182" s="4" t="str">
        <f t="shared" si="1"/>
        <v>Feb-2025</v>
      </c>
    </row>
    <row r="183" ht="15.75" customHeight="1">
      <c r="A183" s="4" t="s">
        <v>350</v>
      </c>
      <c r="B183" s="5">
        <v>45717.0</v>
      </c>
      <c r="C183" s="4" t="s">
        <v>13</v>
      </c>
      <c r="D183" s="4" t="s">
        <v>14</v>
      </c>
      <c r="E183" s="4" t="s">
        <v>20</v>
      </c>
      <c r="F183" s="4" t="s">
        <v>133</v>
      </c>
      <c r="G183" s="4">
        <v>1.0</v>
      </c>
      <c r="H183" s="6">
        <v>281.64</v>
      </c>
      <c r="I183" s="6">
        <v>281.64</v>
      </c>
      <c r="J183" s="6">
        <v>201.43</v>
      </c>
      <c r="K183" s="6">
        <v>80.21</v>
      </c>
      <c r="L183" s="4" t="str">
        <f t="shared" si="1"/>
        <v>Mar-2025</v>
      </c>
    </row>
    <row r="184" ht="15.75" customHeight="1">
      <c r="A184" s="4" t="s">
        <v>351</v>
      </c>
      <c r="B184" s="5">
        <v>45718.0</v>
      </c>
      <c r="C184" s="4" t="s">
        <v>38</v>
      </c>
      <c r="D184" s="4" t="s">
        <v>19</v>
      </c>
      <c r="E184" s="4" t="s">
        <v>25</v>
      </c>
      <c r="F184" s="4" t="s">
        <v>352</v>
      </c>
      <c r="G184" s="4">
        <v>1.0</v>
      </c>
      <c r="H184" s="6">
        <v>19376.62</v>
      </c>
      <c r="I184" s="6">
        <v>19376.62</v>
      </c>
      <c r="J184" s="6">
        <v>16270.2</v>
      </c>
      <c r="K184" s="6">
        <v>3106.42</v>
      </c>
      <c r="L184" s="4" t="str">
        <f t="shared" si="1"/>
        <v>Mar-2025</v>
      </c>
    </row>
    <row r="185" ht="15.75" customHeight="1">
      <c r="A185" s="4" t="s">
        <v>353</v>
      </c>
      <c r="B185" s="5">
        <v>45718.0</v>
      </c>
      <c r="C185" s="4" t="s">
        <v>41</v>
      </c>
      <c r="D185" s="4" t="s">
        <v>42</v>
      </c>
      <c r="E185" s="4" t="s">
        <v>29</v>
      </c>
      <c r="F185" s="4" t="s">
        <v>354</v>
      </c>
      <c r="G185" s="4">
        <v>7.0</v>
      </c>
      <c r="H185" s="6">
        <v>2107.0</v>
      </c>
      <c r="I185" s="6">
        <v>14749.0</v>
      </c>
      <c r="J185" s="6">
        <v>13100.79</v>
      </c>
      <c r="K185" s="6">
        <v>1648.21</v>
      </c>
      <c r="L185" s="4" t="str">
        <f t="shared" si="1"/>
        <v>Mar-2025</v>
      </c>
    </row>
    <row r="186" ht="15.75" customHeight="1">
      <c r="A186" s="4" t="s">
        <v>355</v>
      </c>
      <c r="B186" s="5">
        <v>45720.0</v>
      </c>
      <c r="C186" s="4" t="s">
        <v>38</v>
      </c>
      <c r="D186" s="4" t="s">
        <v>19</v>
      </c>
      <c r="E186" s="4" t="s">
        <v>29</v>
      </c>
      <c r="F186" s="4" t="s">
        <v>356</v>
      </c>
      <c r="G186" s="4">
        <v>4.0</v>
      </c>
      <c r="H186" s="6">
        <v>52245.47</v>
      </c>
      <c r="I186" s="6">
        <v>208981.88</v>
      </c>
      <c r="J186" s="6">
        <v>176006.98</v>
      </c>
      <c r="K186" s="6">
        <v>32974.9</v>
      </c>
      <c r="L186" s="4" t="str">
        <f t="shared" si="1"/>
        <v>Mar-2025</v>
      </c>
    </row>
    <row r="187" ht="15.75" customHeight="1">
      <c r="A187" s="4" t="s">
        <v>357</v>
      </c>
      <c r="B187" s="5">
        <v>45720.0</v>
      </c>
      <c r="C187" s="4" t="s">
        <v>47</v>
      </c>
      <c r="D187" s="4" t="s">
        <v>14</v>
      </c>
      <c r="E187" s="4" t="s">
        <v>20</v>
      </c>
      <c r="F187" s="4" t="s">
        <v>67</v>
      </c>
      <c r="G187" s="4">
        <v>2.0</v>
      </c>
      <c r="H187" s="6">
        <v>983.15</v>
      </c>
      <c r="I187" s="6">
        <v>1966.3</v>
      </c>
      <c r="J187" s="6">
        <v>1541.23</v>
      </c>
      <c r="K187" s="6">
        <v>425.07</v>
      </c>
      <c r="L187" s="4" t="str">
        <f t="shared" si="1"/>
        <v>Mar-2025</v>
      </c>
    </row>
    <row r="188" ht="15.75" customHeight="1">
      <c r="A188" s="4" t="s">
        <v>358</v>
      </c>
      <c r="B188" s="5">
        <v>45720.0</v>
      </c>
      <c r="C188" s="4" t="s">
        <v>109</v>
      </c>
      <c r="D188" s="4" t="s">
        <v>42</v>
      </c>
      <c r="E188" s="4" t="s">
        <v>15</v>
      </c>
      <c r="F188" s="4" t="s">
        <v>359</v>
      </c>
      <c r="G188" s="4">
        <v>4.0</v>
      </c>
      <c r="H188" s="6">
        <v>3035.92</v>
      </c>
      <c r="I188" s="6">
        <v>12143.68</v>
      </c>
      <c r="J188" s="6">
        <v>10786.64</v>
      </c>
      <c r="K188" s="6">
        <v>1357.04</v>
      </c>
      <c r="L188" s="4" t="str">
        <f t="shared" si="1"/>
        <v>Mar-2025</v>
      </c>
    </row>
    <row r="189" ht="15.75" customHeight="1">
      <c r="A189" s="4" t="s">
        <v>360</v>
      </c>
      <c r="B189" s="5">
        <v>45720.0</v>
      </c>
      <c r="C189" s="4" t="s">
        <v>41</v>
      </c>
      <c r="D189" s="4" t="s">
        <v>42</v>
      </c>
      <c r="E189" s="4" t="s">
        <v>25</v>
      </c>
      <c r="F189" s="4" t="s">
        <v>248</v>
      </c>
      <c r="G189" s="4">
        <v>2.0</v>
      </c>
      <c r="H189" s="6">
        <v>250.46</v>
      </c>
      <c r="I189" s="6">
        <v>500.92</v>
      </c>
      <c r="J189" s="6">
        <v>410.59</v>
      </c>
      <c r="K189" s="6">
        <v>90.33</v>
      </c>
      <c r="L189" s="4" t="str">
        <f t="shared" si="1"/>
        <v>Mar-2025</v>
      </c>
    </row>
    <row r="190" ht="15.75" customHeight="1">
      <c r="A190" s="4" t="s">
        <v>361</v>
      </c>
      <c r="B190" s="5">
        <v>45721.0</v>
      </c>
      <c r="C190" s="4" t="s">
        <v>155</v>
      </c>
      <c r="D190" s="4" t="s">
        <v>24</v>
      </c>
      <c r="E190" s="4" t="s">
        <v>25</v>
      </c>
      <c r="F190" s="4" t="s">
        <v>362</v>
      </c>
      <c r="G190" s="4">
        <v>5.0</v>
      </c>
      <c r="H190" s="6">
        <v>3651.4</v>
      </c>
      <c r="I190" s="6">
        <v>18257.0</v>
      </c>
      <c r="J190" s="6">
        <v>14710.76</v>
      </c>
      <c r="K190" s="6">
        <v>3546.24</v>
      </c>
      <c r="L190" s="4" t="str">
        <f t="shared" si="1"/>
        <v>Mar-2025</v>
      </c>
    </row>
    <row r="191" ht="15.75" customHeight="1">
      <c r="A191" s="4" t="s">
        <v>363</v>
      </c>
      <c r="B191" s="5">
        <v>45722.0</v>
      </c>
      <c r="C191" s="4" t="s">
        <v>35</v>
      </c>
      <c r="D191" s="4" t="s">
        <v>14</v>
      </c>
      <c r="E191" s="4" t="s">
        <v>25</v>
      </c>
      <c r="F191" s="4" t="s">
        <v>343</v>
      </c>
      <c r="G191" s="4">
        <v>1.0</v>
      </c>
      <c r="H191" s="6">
        <v>406.7</v>
      </c>
      <c r="I191" s="6">
        <v>406.7</v>
      </c>
      <c r="J191" s="6">
        <v>297.1</v>
      </c>
      <c r="K191" s="6">
        <v>109.6</v>
      </c>
      <c r="L191" s="4" t="str">
        <f t="shared" si="1"/>
        <v>Mar-2025</v>
      </c>
    </row>
    <row r="192" ht="15.75" customHeight="1">
      <c r="A192" s="4" t="s">
        <v>364</v>
      </c>
      <c r="B192" s="5">
        <v>45722.0</v>
      </c>
      <c r="C192" s="4" t="s">
        <v>75</v>
      </c>
      <c r="D192" s="4" t="s">
        <v>24</v>
      </c>
      <c r="E192" s="4" t="s">
        <v>15</v>
      </c>
      <c r="F192" s="4" t="s">
        <v>365</v>
      </c>
      <c r="G192" s="4">
        <v>2.0</v>
      </c>
      <c r="H192" s="6">
        <v>9299.65</v>
      </c>
      <c r="I192" s="6">
        <v>18599.3</v>
      </c>
      <c r="J192" s="6">
        <v>13917.43</v>
      </c>
      <c r="K192" s="6">
        <v>4681.87</v>
      </c>
      <c r="L192" s="4" t="str">
        <f t="shared" si="1"/>
        <v>Mar-2025</v>
      </c>
    </row>
    <row r="193" ht="15.75" customHeight="1">
      <c r="A193" s="4" t="s">
        <v>366</v>
      </c>
      <c r="B193" s="5">
        <v>45722.0</v>
      </c>
      <c r="C193" s="4" t="s">
        <v>180</v>
      </c>
      <c r="D193" s="4" t="s">
        <v>19</v>
      </c>
      <c r="E193" s="4" t="s">
        <v>25</v>
      </c>
      <c r="F193" s="4" t="s">
        <v>59</v>
      </c>
      <c r="G193" s="4">
        <v>2.0</v>
      </c>
      <c r="H193" s="6">
        <v>18697.15</v>
      </c>
      <c r="I193" s="6">
        <v>37394.3</v>
      </c>
      <c r="J193" s="6">
        <v>30023.7</v>
      </c>
      <c r="K193" s="6">
        <v>7370.6</v>
      </c>
      <c r="L193" s="4" t="str">
        <f t="shared" si="1"/>
        <v>Mar-2025</v>
      </c>
    </row>
    <row r="194" ht="15.75" customHeight="1">
      <c r="A194" s="4" t="s">
        <v>367</v>
      </c>
      <c r="B194" s="5">
        <v>45722.0</v>
      </c>
      <c r="C194" s="4" t="s">
        <v>18</v>
      </c>
      <c r="D194" s="4" t="s">
        <v>19</v>
      </c>
      <c r="E194" s="4" t="s">
        <v>25</v>
      </c>
      <c r="F194" s="4" t="s">
        <v>295</v>
      </c>
      <c r="G194" s="4">
        <v>5.0</v>
      </c>
      <c r="H194" s="6">
        <v>70970.8</v>
      </c>
      <c r="I194" s="6">
        <v>354854.0</v>
      </c>
      <c r="J194" s="6">
        <v>290271.62</v>
      </c>
      <c r="K194" s="6">
        <v>64582.38</v>
      </c>
      <c r="L194" s="4" t="str">
        <f t="shared" si="1"/>
        <v>Mar-2025</v>
      </c>
    </row>
    <row r="195" ht="15.75" customHeight="1">
      <c r="A195" s="4" t="s">
        <v>368</v>
      </c>
      <c r="B195" s="5">
        <v>45722.0</v>
      </c>
      <c r="C195" s="4" t="s">
        <v>13</v>
      </c>
      <c r="D195" s="4" t="s">
        <v>14</v>
      </c>
      <c r="E195" s="4" t="s">
        <v>25</v>
      </c>
      <c r="F195" s="4" t="s">
        <v>369</v>
      </c>
      <c r="G195" s="4">
        <v>1.0</v>
      </c>
      <c r="H195" s="6">
        <v>839.09</v>
      </c>
      <c r="I195" s="6">
        <v>839.09</v>
      </c>
      <c r="J195" s="6">
        <v>637.03</v>
      </c>
      <c r="K195" s="6">
        <v>202.06</v>
      </c>
      <c r="L195" s="4" t="str">
        <f t="shared" si="1"/>
        <v>Mar-2025</v>
      </c>
    </row>
    <row r="196" ht="15.75" customHeight="1">
      <c r="A196" s="4" t="s">
        <v>370</v>
      </c>
      <c r="B196" s="5">
        <v>45723.0</v>
      </c>
      <c r="C196" s="4" t="s">
        <v>140</v>
      </c>
      <c r="D196" s="4" t="s">
        <v>14</v>
      </c>
      <c r="E196" s="4" t="s">
        <v>29</v>
      </c>
      <c r="F196" s="4" t="s">
        <v>371</v>
      </c>
      <c r="G196" s="4">
        <v>7.0</v>
      </c>
      <c r="H196" s="6">
        <v>247.74</v>
      </c>
      <c r="I196" s="6">
        <v>1734.18</v>
      </c>
      <c r="J196" s="6">
        <v>1300.14</v>
      </c>
      <c r="K196" s="6">
        <v>434.04</v>
      </c>
      <c r="L196" s="4" t="str">
        <f t="shared" si="1"/>
        <v>Mar-2025</v>
      </c>
    </row>
    <row r="197" ht="15.75" customHeight="1">
      <c r="A197" s="4" t="s">
        <v>372</v>
      </c>
      <c r="B197" s="5">
        <v>45723.0</v>
      </c>
      <c r="C197" s="4" t="s">
        <v>155</v>
      </c>
      <c r="D197" s="4" t="s">
        <v>24</v>
      </c>
      <c r="E197" s="4" t="s">
        <v>29</v>
      </c>
      <c r="F197" s="4" t="s">
        <v>373</v>
      </c>
      <c r="G197" s="4">
        <v>4.0</v>
      </c>
      <c r="H197" s="6">
        <v>15003.76</v>
      </c>
      <c r="I197" s="6">
        <v>60015.04</v>
      </c>
      <c r="J197" s="6">
        <v>45189.95</v>
      </c>
      <c r="K197" s="6">
        <v>14825.09</v>
      </c>
      <c r="L197" s="4" t="str">
        <f t="shared" si="1"/>
        <v>Mar-2025</v>
      </c>
    </row>
    <row r="198" ht="15.75" customHeight="1">
      <c r="A198" s="4" t="s">
        <v>374</v>
      </c>
      <c r="B198" s="5">
        <v>45724.0</v>
      </c>
      <c r="C198" s="4" t="s">
        <v>72</v>
      </c>
      <c r="D198" s="4" t="s">
        <v>24</v>
      </c>
      <c r="E198" s="4" t="s">
        <v>20</v>
      </c>
      <c r="F198" s="4" t="s">
        <v>375</v>
      </c>
      <c r="G198" s="4">
        <v>7.0</v>
      </c>
      <c r="H198" s="6">
        <v>3185.8</v>
      </c>
      <c r="I198" s="6">
        <v>22300.6</v>
      </c>
      <c r="J198" s="6">
        <v>17720.14</v>
      </c>
      <c r="K198" s="6">
        <v>4580.46</v>
      </c>
      <c r="L198" s="4" t="str">
        <f t="shared" si="1"/>
        <v>Mar-2025</v>
      </c>
    </row>
    <row r="199" ht="15.75" customHeight="1">
      <c r="A199" s="4" t="s">
        <v>376</v>
      </c>
      <c r="B199" s="5">
        <v>45724.0</v>
      </c>
      <c r="C199" s="4" t="s">
        <v>35</v>
      </c>
      <c r="D199" s="4" t="s">
        <v>14</v>
      </c>
      <c r="E199" s="4" t="s">
        <v>29</v>
      </c>
      <c r="F199" s="4" t="s">
        <v>377</v>
      </c>
      <c r="G199" s="4">
        <v>6.0</v>
      </c>
      <c r="H199" s="6">
        <v>76.86</v>
      </c>
      <c r="I199" s="6">
        <v>461.16</v>
      </c>
      <c r="J199" s="6">
        <v>354.07</v>
      </c>
      <c r="K199" s="6">
        <v>107.09</v>
      </c>
      <c r="L199" s="4" t="str">
        <f t="shared" si="1"/>
        <v>Mar-2025</v>
      </c>
    </row>
    <row r="200" ht="15.75" customHeight="1">
      <c r="A200" s="4" t="s">
        <v>378</v>
      </c>
      <c r="B200" s="5">
        <v>45724.0</v>
      </c>
      <c r="C200" s="4" t="s">
        <v>92</v>
      </c>
      <c r="D200" s="4" t="s">
        <v>14</v>
      </c>
      <c r="E200" s="4" t="s">
        <v>15</v>
      </c>
      <c r="F200" s="4" t="s">
        <v>373</v>
      </c>
      <c r="G200" s="4">
        <v>6.0</v>
      </c>
      <c r="H200" s="6">
        <v>431.18</v>
      </c>
      <c r="I200" s="6">
        <v>2587.08</v>
      </c>
      <c r="J200" s="6">
        <v>1982.58</v>
      </c>
      <c r="K200" s="6">
        <v>604.5</v>
      </c>
      <c r="L200" s="4" t="str">
        <f t="shared" si="1"/>
        <v>Mar-2025</v>
      </c>
    </row>
    <row r="201" ht="15.75" customHeight="1">
      <c r="A201" s="4" t="s">
        <v>379</v>
      </c>
      <c r="B201" s="5">
        <v>45724.0</v>
      </c>
      <c r="C201" s="4" t="s">
        <v>72</v>
      </c>
      <c r="D201" s="4" t="s">
        <v>24</v>
      </c>
      <c r="E201" s="4" t="s">
        <v>25</v>
      </c>
      <c r="F201" s="4" t="s">
        <v>127</v>
      </c>
      <c r="G201" s="4">
        <v>6.0</v>
      </c>
      <c r="H201" s="6">
        <v>1739.67</v>
      </c>
      <c r="I201" s="6">
        <v>10438.02</v>
      </c>
      <c r="J201" s="6">
        <v>8104.05</v>
      </c>
      <c r="K201" s="6">
        <v>2333.97</v>
      </c>
      <c r="L201" s="4" t="str">
        <f t="shared" si="1"/>
        <v>Mar-2025</v>
      </c>
    </row>
    <row r="202" ht="15.75" customHeight="1">
      <c r="A202" s="4" t="s">
        <v>380</v>
      </c>
      <c r="B202" s="5">
        <v>45725.0</v>
      </c>
      <c r="C202" s="4" t="s">
        <v>66</v>
      </c>
      <c r="D202" s="4" t="s">
        <v>42</v>
      </c>
      <c r="E202" s="4" t="s">
        <v>29</v>
      </c>
      <c r="F202" s="4" t="s">
        <v>295</v>
      </c>
      <c r="G202" s="4">
        <v>6.0</v>
      </c>
      <c r="H202" s="6">
        <v>286.14</v>
      </c>
      <c r="I202" s="6">
        <v>1716.84</v>
      </c>
      <c r="J202" s="6">
        <v>1479.36</v>
      </c>
      <c r="K202" s="6">
        <v>237.48</v>
      </c>
      <c r="L202" s="4" t="str">
        <f t="shared" si="1"/>
        <v>Mar-2025</v>
      </c>
    </row>
    <row r="203" ht="15.75" customHeight="1">
      <c r="A203" s="4" t="s">
        <v>381</v>
      </c>
      <c r="B203" s="5">
        <v>45725.0</v>
      </c>
      <c r="C203" s="4" t="s">
        <v>28</v>
      </c>
      <c r="D203" s="4" t="s">
        <v>14</v>
      </c>
      <c r="E203" s="4" t="s">
        <v>20</v>
      </c>
      <c r="F203" s="4" t="s">
        <v>382</v>
      </c>
      <c r="G203" s="4">
        <v>2.0</v>
      </c>
      <c r="H203" s="6">
        <v>110.07</v>
      </c>
      <c r="I203" s="6">
        <v>220.14</v>
      </c>
      <c r="J203" s="6">
        <v>151.07</v>
      </c>
      <c r="K203" s="6">
        <v>69.07</v>
      </c>
      <c r="L203" s="4" t="str">
        <f t="shared" si="1"/>
        <v>Mar-2025</v>
      </c>
    </row>
    <row r="204" ht="15.75" customHeight="1">
      <c r="A204" s="4" t="s">
        <v>383</v>
      </c>
      <c r="B204" s="5">
        <v>45725.0</v>
      </c>
      <c r="C204" s="4" t="s">
        <v>180</v>
      </c>
      <c r="D204" s="4" t="s">
        <v>19</v>
      </c>
      <c r="E204" s="4" t="s">
        <v>25</v>
      </c>
      <c r="F204" s="4" t="s">
        <v>384</v>
      </c>
      <c r="G204" s="4">
        <v>4.0</v>
      </c>
      <c r="H204" s="6">
        <v>35695.07</v>
      </c>
      <c r="I204" s="6">
        <v>142780.28</v>
      </c>
      <c r="J204" s="6">
        <v>121606.23</v>
      </c>
      <c r="K204" s="6">
        <v>21174.05</v>
      </c>
      <c r="L204" s="4" t="str">
        <f t="shared" si="1"/>
        <v>Mar-2025</v>
      </c>
    </row>
    <row r="205" ht="15.75" customHeight="1">
      <c r="A205" s="4" t="s">
        <v>385</v>
      </c>
      <c r="B205" s="5">
        <v>45725.0</v>
      </c>
      <c r="C205" s="4" t="s">
        <v>155</v>
      </c>
      <c r="D205" s="4" t="s">
        <v>24</v>
      </c>
      <c r="E205" s="4" t="s">
        <v>15</v>
      </c>
      <c r="F205" s="4" t="s">
        <v>386</v>
      </c>
      <c r="G205" s="4">
        <v>3.0</v>
      </c>
      <c r="H205" s="6">
        <v>11307.53</v>
      </c>
      <c r="I205" s="6">
        <v>33922.59</v>
      </c>
      <c r="J205" s="6">
        <v>28225.39</v>
      </c>
      <c r="K205" s="6">
        <v>5697.2</v>
      </c>
      <c r="L205" s="4" t="str">
        <f t="shared" si="1"/>
        <v>Mar-2025</v>
      </c>
    </row>
    <row r="206" ht="15.75" customHeight="1">
      <c r="A206" s="4" t="s">
        <v>387</v>
      </c>
      <c r="B206" s="5">
        <v>45725.0</v>
      </c>
      <c r="C206" s="4" t="s">
        <v>180</v>
      </c>
      <c r="D206" s="4" t="s">
        <v>19</v>
      </c>
      <c r="E206" s="4" t="s">
        <v>25</v>
      </c>
      <c r="F206" s="4" t="s">
        <v>26</v>
      </c>
      <c r="G206" s="4">
        <v>3.0</v>
      </c>
      <c r="H206" s="6">
        <v>63957.13</v>
      </c>
      <c r="I206" s="6">
        <v>191871.39</v>
      </c>
      <c r="J206" s="6">
        <v>161062.42</v>
      </c>
      <c r="K206" s="6">
        <v>30808.97</v>
      </c>
      <c r="L206" s="4" t="str">
        <f t="shared" si="1"/>
        <v>Mar-2025</v>
      </c>
    </row>
    <row r="207" ht="15.75" customHeight="1">
      <c r="A207" s="4" t="s">
        <v>388</v>
      </c>
      <c r="B207" s="5">
        <v>45725.0</v>
      </c>
      <c r="C207" s="4" t="s">
        <v>69</v>
      </c>
      <c r="D207" s="4" t="s">
        <v>19</v>
      </c>
      <c r="E207" s="4" t="s">
        <v>15</v>
      </c>
      <c r="F207" s="4" t="s">
        <v>107</v>
      </c>
      <c r="G207" s="4">
        <v>5.0</v>
      </c>
      <c r="H207" s="6">
        <v>37017.35</v>
      </c>
      <c r="I207" s="6">
        <v>185086.75</v>
      </c>
      <c r="J207" s="6">
        <v>156277.3</v>
      </c>
      <c r="K207" s="6">
        <v>28809.45</v>
      </c>
      <c r="L207" s="4" t="str">
        <f t="shared" si="1"/>
        <v>Mar-2025</v>
      </c>
    </row>
    <row r="208" ht="15.75" customHeight="1">
      <c r="A208" s="4" t="s">
        <v>389</v>
      </c>
      <c r="B208" s="5">
        <v>45726.0</v>
      </c>
      <c r="C208" s="4" t="s">
        <v>160</v>
      </c>
      <c r="D208" s="4" t="s">
        <v>42</v>
      </c>
      <c r="E208" s="4" t="s">
        <v>29</v>
      </c>
      <c r="F208" s="4" t="s">
        <v>76</v>
      </c>
      <c r="G208" s="4">
        <v>6.0</v>
      </c>
      <c r="H208" s="6">
        <v>2797.58</v>
      </c>
      <c r="I208" s="6">
        <v>16785.48</v>
      </c>
      <c r="J208" s="6">
        <v>14455.7</v>
      </c>
      <c r="K208" s="6">
        <v>2329.78</v>
      </c>
      <c r="L208" s="4" t="str">
        <f t="shared" si="1"/>
        <v>Mar-2025</v>
      </c>
    </row>
    <row r="209" ht="15.75" customHeight="1">
      <c r="A209" s="4" t="s">
        <v>390</v>
      </c>
      <c r="B209" s="5">
        <v>45726.0</v>
      </c>
      <c r="C209" s="4" t="s">
        <v>102</v>
      </c>
      <c r="D209" s="4" t="s">
        <v>24</v>
      </c>
      <c r="E209" s="4" t="s">
        <v>20</v>
      </c>
      <c r="F209" s="4" t="s">
        <v>203</v>
      </c>
      <c r="G209" s="4">
        <v>4.0</v>
      </c>
      <c r="H209" s="6">
        <v>5024.26</v>
      </c>
      <c r="I209" s="6">
        <v>20097.04</v>
      </c>
      <c r="J209" s="6">
        <v>15963.31</v>
      </c>
      <c r="K209" s="6">
        <v>4133.73</v>
      </c>
      <c r="L209" s="4" t="str">
        <f t="shared" si="1"/>
        <v>Mar-2025</v>
      </c>
    </row>
    <row r="210" ht="15.75" customHeight="1">
      <c r="A210" s="4" t="s">
        <v>391</v>
      </c>
      <c r="B210" s="5">
        <v>45726.0</v>
      </c>
      <c r="C210" s="4" t="s">
        <v>35</v>
      </c>
      <c r="D210" s="4" t="s">
        <v>14</v>
      </c>
      <c r="E210" s="4" t="s">
        <v>29</v>
      </c>
      <c r="F210" s="4" t="s">
        <v>392</v>
      </c>
      <c r="G210" s="4">
        <v>2.0</v>
      </c>
      <c r="H210" s="6">
        <v>730.09</v>
      </c>
      <c r="I210" s="6">
        <v>1460.18</v>
      </c>
      <c r="J210" s="6">
        <v>1163.79</v>
      </c>
      <c r="K210" s="6">
        <v>296.39</v>
      </c>
      <c r="L210" s="4" t="str">
        <f t="shared" si="1"/>
        <v>Mar-2025</v>
      </c>
    </row>
    <row r="211" ht="15.75" customHeight="1">
      <c r="A211" s="4" t="s">
        <v>393</v>
      </c>
      <c r="B211" s="5">
        <v>45726.0</v>
      </c>
      <c r="C211" s="4" t="s">
        <v>47</v>
      </c>
      <c r="D211" s="4" t="s">
        <v>14</v>
      </c>
      <c r="E211" s="4" t="s">
        <v>25</v>
      </c>
      <c r="F211" s="4" t="s">
        <v>394</v>
      </c>
      <c r="G211" s="4">
        <v>3.0</v>
      </c>
      <c r="H211" s="6">
        <v>315.19</v>
      </c>
      <c r="I211" s="6">
        <v>945.57</v>
      </c>
      <c r="J211" s="6">
        <v>648.63</v>
      </c>
      <c r="K211" s="6">
        <v>296.94</v>
      </c>
      <c r="L211" s="4" t="str">
        <f t="shared" si="1"/>
        <v>Mar-2025</v>
      </c>
    </row>
    <row r="212" ht="15.75" customHeight="1">
      <c r="A212" s="4" t="s">
        <v>395</v>
      </c>
      <c r="B212" s="5">
        <v>45727.0</v>
      </c>
      <c r="C212" s="4" t="s">
        <v>28</v>
      </c>
      <c r="D212" s="4" t="s">
        <v>14</v>
      </c>
      <c r="E212" s="4" t="s">
        <v>20</v>
      </c>
      <c r="F212" s="4" t="s">
        <v>396</v>
      </c>
      <c r="G212" s="4">
        <v>2.0</v>
      </c>
      <c r="H212" s="6">
        <v>128.05</v>
      </c>
      <c r="I212" s="6">
        <v>256.1</v>
      </c>
      <c r="J212" s="6">
        <v>200.63</v>
      </c>
      <c r="K212" s="6">
        <v>55.47</v>
      </c>
      <c r="L212" s="4" t="str">
        <f t="shared" si="1"/>
        <v>Mar-2025</v>
      </c>
    </row>
    <row r="213" ht="15.75" customHeight="1">
      <c r="A213" s="4" t="s">
        <v>397</v>
      </c>
      <c r="B213" s="5">
        <v>45728.0</v>
      </c>
      <c r="C213" s="4" t="s">
        <v>75</v>
      </c>
      <c r="D213" s="4" t="s">
        <v>24</v>
      </c>
      <c r="E213" s="4" t="s">
        <v>25</v>
      </c>
      <c r="F213" s="4" t="s">
        <v>127</v>
      </c>
      <c r="G213" s="4">
        <v>5.0</v>
      </c>
      <c r="H213" s="6">
        <v>11147.09</v>
      </c>
      <c r="I213" s="6">
        <v>55735.45</v>
      </c>
      <c r="J213" s="6">
        <v>41926.07</v>
      </c>
      <c r="K213" s="6">
        <v>13809.38</v>
      </c>
      <c r="L213" s="4" t="str">
        <f t="shared" si="1"/>
        <v>Mar-2025</v>
      </c>
    </row>
    <row r="214" ht="15.75" customHeight="1">
      <c r="A214" s="4" t="s">
        <v>398</v>
      </c>
      <c r="B214" s="5">
        <v>45728.0</v>
      </c>
      <c r="C214" s="4" t="s">
        <v>102</v>
      </c>
      <c r="D214" s="4" t="s">
        <v>24</v>
      </c>
      <c r="E214" s="4" t="s">
        <v>25</v>
      </c>
      <c r="F214" s="4" t="s">
        <v>399</v>
      </c>
      <c r="G214" s="4">
        <v>2.0</v>
      </c>
      <c r="H214" s="6">
        <v>9640.47</v>
      </c>
      <c r="I214" s="6">
        <v>19280.94</v>
      </c>
      <c r="J214" s="6">
        <v>15021.55</v>
      </c>
      <c r="K214" s="6">
        <v>4259.39</v>
      </c>
      <c r="L214" s="4" t="str">
        <f t="shared" si="1"/>
        <v>Mar-2025</v>
      </c>
    </row>
    <row r="215" ht="15.75" customHeight="1">
      <c r="A215" s="4" t="s">
        <v>400</v>
      </c>
      <c r="B215" s="5">
        <v>45728.0</v>
      </c>
      <c r="C215" s="4" t="s">
        <v>61</v>
      </c>
      <c r="D215" s="4" t="s">
        <v>19</v>
      </c>
      <c r="E215" s="4" t="s">
        <v>29</v>
      </c>
      <c r="F215" s="4" t="s">
        <v>45</v>
      </c>
      <c r="G215" s="4">
        <v>2.0</v>
      </c>
      <c r="H215" s="6">
        <v>41894.64</v>
      </c>
      <c r="I215" s="6">
        <v>83789.28</v>
      </c>
      <c r="J215" s="6">
        <v>71759.4</v>
      </c>
      <c r="K215" s="6">
        <v>12029.88</v>
      </c>
      <c r="L215" s="4" t="str">
        <f t="shared" si="1"/>
        <v>Mar-2025</v>
      </c>
    </row>
    <row r="216" ht="15.75" customHeight="1">
      <c r="A216" s="4" t="s">
        <v>404</v>
      </c>
      <c r="B216" s="5">
        <v>45729.0</v>
      </c>
      <c r="C216" s="4" t="s">
        <v>155</v>
      </c>
      <c r="D216" s="4" t="s">
        <v>24</v>
      </c>
      <c r="E216" s="4" t="s">
        <v>25</v>
      </c>
      <c r="F216" s="4" t="s">
        <v>405</v>
      </c>
      <c r="G216" s="4">
        <v>3.0</v>
      </c>
      <c r="H216" s="6">
        <v>16693.75</v>
      </c>
      <c r="I216" s="6">
        <v>50081.25</v>
      </c>
      <c r="J216" s="6">
        <v>43964.05</v>
      </c>
      <c r="K216" s="6">
        <v>6117.2</v>
      </c>
      <c r="L216" s="4" t="str">
        <f t="shared" si="1"/>
        <v>Mar-2025</v>
      </c>
    </row>
    <row r="217" ht="15.75" customHeight="1">
      <c r="A217" s="4" t="s">
        <v>407</v>
      </c>
      <c r="B217" s="5">
        <v>45729.0</v>
      </c>
      <c r="C217" s="4" t="s">
        <v>66</v>
      </c>
      <c r="D217" s="4" t="s">
        <v>42</v>
      </c>
      <c r="E217" s="4" t="s">
        <v>15</v>
      </c>
      <c r="F217" s="4" t="s">
        <v>178</v>
      </c>
      <c r="G217" s="4">
        <v>2.0</v>
      </c>
      <c r="H217" s="6">
        <v>2750.53</v>
      </c>
      <c r="I217" s="6">
        <v>5501.06</v>
      </c>
      <c r="J217" s="6">
        <v>4562.84</v>
      </c>
      <c r="K217" s="6">
        <v>938.22</v>
      </c>
      <c r="L217" s="4" t="str">
        <f t="shared" si="1"/>
        <v>Mar-2025</v>
      </c>
    </row>
    <row r="218" ht="15.75" customHeight="1">
      <c r="A218" s="4" t="s">
        <v>411</v>
      </c>
      <c r="B218" s="5">
        <v>45729.0</v>
      </c>
      <c r="C218" s="4" t="s">
        <v>13</v>
      </c>
      <c r="D218" s="4" t="s">
        <v>14</v>
      </c>
      <c r="E218" s="4" t="s">
        <v>15</v>
      </c>
      <c r="F218" s="4" t="s">
        <v>413</v>
      </c>
      <c r="G218" s="4">
        <v>6.0</v>
      </c>
      <c r="H218" s="6">
        <v>1342.65</v>
      </c>
      <c r="I218" s="6">
        <v>8055.9</v>
      </c>
      <c r="J218" s="6">
        <v>6020.24</v>
      </c>
      <c r="K218" s="6">
        <v>2035.66</v>
      </c>
      <c r="L218" s="4" t="str">
        <f t="shared" si="1"/>
        <v>Mar-2025</v>
      </c>
    </row>
    <row r="219" ht="15.75" customHeight="1">
      <c r="A219" s="4" t="s">
        <v>416</v>
      </c>
      <c r="B219" s="5">
        <v>45729.0</v>
      </c>
      <c r="C219" s="4" t="s">
        <v>13</v>
      </c>
      <c r="D219" s="4" t="s">
        <v>14</v>
      </c>
      <c r="E219" s="4" t="s">
        <v>29</v>
      </c>
      <c r="F219" s="4" t="s">
        <v>418</v>
      </c>
      <c r="G219" s="4">
        <v>4.0</v>
      </c>
      <c r="H219" s="6">
        <v>600.64</v>
      </c>
      <c r="I219" s="6">
        <v>2402.56</v>
      </c>
      <c r="J219" s="6">
        <v>1735.54</v>
      </c>
      <c r="K219" s="6">
        <v>667.02</v>
      </c>
      <c r="L219" s="4" t="str">
        <f t="shared" si="1"/>
        <v>Mar-2025</v>
      </c>
    </row>
    <row r="220" ht="15.75" customHeight="1">
      <c r="A220" s="4" t="s">
        <v>420</v>
      </c>
      <c r="B220" s="5">
        <v>45730.0</v>
      </c>
      <c r="C220" s="4" t="s">
        <v>41</v>
      </c>
      <c r="D220" s="4" t="s">
        <v>42</v>
      </c>
      <c r="E220" s="4" t="s">
        <v>25</v>
      </c>
      <c r="F220" s="4" t="s">
        <v>422</v>
      </c>
      <c r="G220" s="4">
        <v>3.0</v>
      </c>
      <c r="H220" s="6">
        <v>1849.09</v>
      </c>
      <c r="I220" s="6">
        <v>5547.27</v>
      </c>
      <c r="J220" s="6">
        <v>4435.37</v>
      </c>
      <c r="K220" s="6">
        <v>1111.9</v>
      </c>
      <c r="L220" s="4" t="str">
        <f t="shared" si="1"/>
        <v>Mar-2025</v>
      </c>
    </row>
    <row r="221" ht="15.75" customHeight="1">
      <c r="A221" s="4" t="s">
        <v>425</v>
      </c>
      <c r="B221" s="5">
        <v>45730.0</v>
      </c>
      <c r="C221" s="4" t="s">
        <v>13</v>
      </c>
      <c r="D221" s="4" t="s">
        <v>14</v>
      </c>
      <c r="E221" s="4" t="s">
        <v>25</v>
      </c>
      <c r="F221" s="4" t="s">
        <v>238</v>
      </c>
      <c r="G221" s="4">
        <v>3.0</v>
      </c>
      <c r="H221" s="6">
        <v>447.61</v>
      </c>
      <c r="I221" s="6">
        <v>1342.83</v>
      </c>
      <c r="J221" s="6">
        <v>998.58</v>
      </c>
      <c r="K221" s="6">
        <v>344.25</v>
      </c>
      <c r="L221" s="4" t="str">
        <f t="shared" si="1"/>
        <v>Mar-2025</v>
      </c>
    </row>
    <row r="222" ht="15.75" customHeight="1">
      <c r="A222" s="4" t="s">
        <v>426</v>
      </c>
      <c r="B222" s="5">
        <v>45730.0</v>
      </c>
      <c r="C222" s="4" t="s">
        <v>72</v>
      </c>
      <c r="D222" s="4" t="s">
        <v>24</v>
      </c>
      <c r="E222" s="4" t="s">
        <v>20</v>
      </c>
      <c r="F222" s="4" t="s">
        <v>427</v>
      </c>
      <c r="G222" s="4">
        <v>1.0</v>
      </c>
      <c r="H222" s="6">
        <v>7841.33</v>
      </c>
      <c r="I222" s="6">
        <v>7841.33</v>
      </c>
      <c r="J222" s="6">
        <v>6149.75</v>
      </c>
      <c r="K222" s="6">
        <v>1691.58</v>
      </c>
      <c r="L222" s="4" t="str">
        <f t="shared" si="1"/>
        <v>Mar-2025</v>
      </c>
    </row>
    <row r="223" ht="15.75" customHeight="1">
      <c r="A223" s="4" t="s">
        <v>428</v>
      </c>
      <c r="B223" s="5">
        <v>45731.0</v>
      </c>
      <c r="C223" s="4" t="s">
        <v>66</v>
      </c>
      <c r="D223" s="4" t="s">
        <v>42</v>
      </c>
      <c r="E223" s="4" t="s">
        <v>25</v>
      </c>
      <c r="F223" s="4" t="s">
        <v>123</v>
      </c>
      <c r="G223" s="4">
        <v>1.0</v>
      </c>
      <c r="H223" s="6">
        <v>3309.0</v>
      </c>
      <c r="I223" s="6">
        <v>3309.0</v>
      </c>
      <c r="J223" s="6">
        <v>2839.76</v>
      </c>
      <c r="K223" s="6">
        <v>469.24</v>
      </c>
      <c r="L223" s="4" t="str">
        <f t="shared" si="1"/>
        <v>Mar-2025</v>
      </c>
    </row>
    <row r="224" ht="15.75" customHeight="1">
      <c r="A224" s="4" t="s">
        <v>429</v>
      </c>
      <c r="B224" s="5">
        <v>45731.0</v>
      </c>
      <c r="C224" s="4" t="s">
        <v>155</v>
      </c>
      <c r="D224" s="4" t="s">
        <v>24</v>
      </c>
      <c r="E224" s="4" t="s">
        <v>29</v>
      </c>
      <c r="F224" s="4" t="s">
        <v>295</v>
      </c>
      <c r="G224" s="4">
        <v>7.0</v>
      </c>
      <c r="H224" s="6">
        <v>9293.32</v>
      </c>
      <c r="I224" s="6">
        <v>65053.24</v>
      </c>
      <c r="J224" s="6">
        <v>55364.8</v>
      </c>
      <c r="K224" s="6">
        <v>9688.44</v>
      </c>
      <c r="L224" s="4" t="str">
        <f t="shared" si="1"/>
        <v>Mar-2025</v>
      </c>
    </row>
    <row r="225" ht="15.75" customHeight="1">
      <c r="A225" s="4" t="s">
        <v>430</v>
      </c>
      <c r="B225" s="5">
        <v>45731.0</v>
      </c>
      <c r="C225" s="4" t="s">
        <v>92</v>
      </c>
      <c r="D225" s="4" t="s">
        <v>14</v>
      </c>
      <c r="E225" s="4" t="s">
        <v>29</v>
      </c>
      <c r="F225" s="4" t="s">
        <v>171</v>
      </c>
      <c r="G225" s="4">
        <v>3.0</v>
      </c>
      <c r="H225" s="6">
        <v>176.25</v>
      </c>
      <c r="I225" s="6">
        <v>528.75</v>
      </c>
      <c r="J225" s="6">
        <v>430.83</v>
      </c>
      <c r="K225" s="6">
        <v>97.92</v>
      </c>
      <c r="L225" s="4" t="str">
        <f t="shared" si="1"/>
        <v>Mar-2025</v>
      </c>
    </row>
    <row r="226" ht="15.75" customHeight="1">
      <c r="A226" s="4" t="s">
        <v>431</v>
      </c>
      <c r="B226" s="5">
        <v>45731.0</v>
      </c>
      <c r="C226" s="4" t="s">
        <v>61</v>
      </c>
      <c r="D226" s="4" t="s">
        <v>19</v>
      </c>
      <c r="E226" s="4" t="s">
        <v>29</v>
      </c>
      <c r="F226" s="4" t="s">
        <v>311</v>
      </c>
      <c r="G226" s="4">
        <v>7.0</v>
      </c>
      <c r="H226" s="6">
        <v>23052.4</v>
      </c>
      <c r="I226" s="6">
        <v>161366.8</v>
      </c>
      <c r="J226" s="6">
        <v>136010.36</v>
      </c>
      <c r="K226" s="6">
        <v>25356.44</v>
      </c>
      <c r="L226" s="4" t="str">
        <f t="shared" si="1"/>
        <v>Mar-2025</v>
      </c>
    </row>
    <row r="227" ht="15.75" customHeight="1">
      <c r="A227" s="4" t="s">
        <v>432</v>
      </c>
      <c r="B227" s="5">
        <v>45732.0</v>
      </c>
      <c r="C227" s="4" t="s">
        <v>32</v>
      </c>
      <c r="D227" s="4" t="s">
        <v>19</v>
      </c>
      <c r="E227" s="4" t="s">
        <v>29</v>
      </c>
      <c r="F227" s="4" t="s">
        <v>103</v>
      </c>
      <c r="G227" s="4">
        <v>5.0</v>
      </c>
      <c r="H227" s="6">
        <v>60279.14</v>
      </c>
      <c r="I227" s="6">
        <v>301395.7</v>
      </c>
      <c r="J227" s="6">
        <v>248649.66</v>
      </c>
      <c r="K227" s="6">
        <v>52746.04</v>
      </c>
      <c r="L227" s="4" t="str">
        <f t="shared" si="1"/>
        <v>Mar-2025</v>
      </c>
    </row>
    <row r="228" ht="15.75" customHeight="1">
      <c r="A228" s="4" t="s">
        <v>433</v>
      </c>
      <c r="B228" s="5">
        <v>45732.0</v>
      </c>
      <c r="C228" s="4" t="s">
        <v>69</v>
      </c>
      <c r="D228" s="4" t="s">
        <v>19</v>
      </c>
      <c r="E228" s="4" t="s">
        <v>25</v>
      </c>
      <c r="F228" s="4" t="s">
        <v>434</v>
      </c>
      <c r="G228" s="4">
        <v>2.0</v>
      </c>
      <c r="H228" s="6">
        <v>3392.49</v>
      </c>
      <c r="I228" s="6">
        <v>6784.98</v>
      </c>
      <c r="J228" s="6">
        <v>5436.32</v>
      </c>
      <c r="K228" s="6">
        <v>1348.66</v>
      </c>
      <c r="L228" s="4" t="str">
        <f t="shared" si="1"/>
        <v>Mar-2025</v>
      </c>
    </row>
    <row r="229" ht="15.75" customHeight="1">
      <c r="A229" s="4" t="s">
        <v>435</v>
      </c>
      <c r="B229" s="5">
        <v>45732.0</v>
      </c>
      <c r="C229" s="4" t="s">
        <v>47</v>
      </c>
      <c r="D229" s="4" t="s">
        <v>14</v>
      </c>
      <c r="E229" s="4" t="s">
        <v>25</v>
      </c>
      <c r="F229" s="4" t="s">
        <v>436</v>
      </c>
      <c r="G229" s="4">
        <v>3.0</v>
      </c>
      <c r="H229" s="6">
        <v>966.53</v>
      </c>
      <c r="I229" s="6">
        <v>2899.59</v>
      </c>
      <c r="J229" s="6">
        <v>2461.65</v>
      </c>
      <c r="K229" s="6">
        <v>437.94</v>
      </c>
      <c r="L229" s="4" t="str">
        <f t="shared" si="1"/>
        <v>Mar-2025</v>
      </c>
    </row>
    <row r="230" ht="15.75" customHeight="1">
      <c r="A230" s="4" t="s">
        <v>437</v>
      </c>
      <c r="B230" s="5">
        <v>45732.0</v>
      </c>
      <c r="C230" s="4" t="s">
        <v>32</v>
      </c>
      <c r="D230" s="4" t="s">
        <v>19</v>
      </c>
      <c r="E230" s="4" t="s">
        <v>29</v>
      </c>
      <c r="F230" s="4" t="s">
        <v>227</v>
      </c>
      <c r="G230" s="4">
        <v>4.0</v>
      </c>
      <c r="H230" s="6">
        <v>24067.27</v>
      </c>
      <c r="I230" s="6">
        <v>96269.08</v>
      </c>
      <c r="J230" s="6">
        <v>78878.6</v>
      </c>
      <c r="K230" s="6">
        <v>17390.48</v>
      </c>
      <c r="L230" s="4" t="str">
        <f t="shared" si="1"/>
        <v>Mar-2025</v>
      </c>
    </row>
    <row r="231" ht="15.75" customHeight="1">
      <c r="A231" s="4" t="s">
        <v>438</v>
      </c>
      <c r="B231" s="5">
        <v>45732.0</v>
      </c>
      <c r="C231" s="4" t="s">
        <v>50</v>
      </c>
      <c r="D231" s="4" t="s">
        <v>42</v>
      </c>
      <c r="E231" s="4" t="s">
        <v>29</v>
      </c>
      <c r="F231" s="4" t="s">
        <v>169</v>
      </c>
      <c r="G231" s="4">
        <v>4.0</v>
      </c>
      <c r="H231" s="6">
        <v>4513.06</v>
      </c>
      <c r="I231" s="6">
        <v>18052.24</v>
      </c>
      <c r="J231" s="6">
        <v>14450.36</v>
      </c>
      <c r="K231" s="6">
        <v>3601.88</v>
      </c>
      <c r="L231" s="4" t="str">
        <f t="shared" si="1"/>
        <v>Mar-2025</v>
      </c>
    </row>
    <row r="232" ht="15.75" customHeight="1">
      <c r="A232" s="4" t="s">
        <v>439</v>
      </c>
      <c r="B232" s="5">
        <v>45732.0</v>
      </c>
      <c r="C232" s="4" t="s">
        <v>18</v>
      </c>
      <c r="D232" s="4" t="s">
        <v>19</v>
      </c>
      <c r="E232" s="4" t="s">
        <v>15</v>
      </c>
      <c r="F232" s="4" t="s">
        <v>340</v>
      </c>
      <c r="G232" s="4">
        <v>2.0</v>
      </c>
      <c r="H232" s="6">
        <v>51205.3</v>
      </c>
      <c r="I232" s="6">
        <v>102410.6</v>
      </c>
      <c r="J232" s="6">
        <v>88435.64</v>
      </c>
      <c r="K232" s="6">
        <v>13974.96</v>
      </c>
      <c r="L232" s="4" t="str">
        <f t="shared" si="1"/>
        <v>Mar-2025</v>
      </c>
    </row>
    <row r="233" ht="15.75" customHeight="1">
      <c r="A233" s="4" t="s">
        <v>440</v>
      </c>
      <c r="B233" s="5">
        <v>45732.0</v>
      </c>
      <c r="C233" s="4" t="s">
        <v>13</v>
      </c>
      <c r="D233" s="4" t="s">
        <v>14</v>
      </c>
      <c r="E233" s="4" t="s">
        <v>29</v>
      </c>
      <c r="F233" s="4" t="s">
        <v>33</v>
      </c>
      <c r="G233" s="4">
        <v>3.0</v>
      </c>
      <c r="H233" s="6">
        <v>799.66</v>
      </c>
      <c r="I233" s="6">
        <v>2398.98</v>
      </c>
      <c r="J233" s="6">
        <v>1917.85</v>
      </c>
      <c r="K233" s="6">
        <v>481.13</v>
      </c>
      <c r="L233" s="4" t="str">
        <f t="shared" si="1"/>
        <v>Mar-2025</v>
      </c>
    </row>
    <row r="234" ht="15.75" customHeight="1">
      <c r="A234" s="4" t="s">
        <v>441</v>
      </c>
      <c r="B234" s="5">
        <v>45732.0</v>
      </c>
      <c r="C234" s="4" t="s">
        <v>35</v>
      </c>
      <c r="D234" s="4" t="s">
        <v>14</v>
      </c>
      <c r="E234" s="4" t="s">
        <v>20</v>
      </c>
      <c r="F234" s="4" t="s">
        <v>145</v>
      </c>
      <c r="G234" s="4">
        <v>5.0</v>
      </c>
      <c r="H234" s="6">
        <v>128.87</v>
      </c>
      <c r="I234" s="6">
        <v>644.35</v>
      </c>
      <c r="J234" s="6">
        <v>540.05</v>
      </c>
      <c r="K234" s="6">
        <v>104.3</v>
      </c>
      <c r="L234" s="4" t="str">
        <f t="shared" si="1"/>
        <v>Mar-2025</v>
      </c>
    </row>
    <row r="235" ht="15.75" customHeight="1">
      <c r="A235" s="4" t="s">
        <v>442</v>
      </c>
      <c r="B235" s="5">
        <v>45733.0</v>
      </c>
      <c r="C235" s="4" t="s">
        <v>61</v>
      </c>
      <c r="D235" s="4" t="s">
        <v>19</v>
      </c>
      <c r="E235" s="4" t="s">
        <v>25</v>
      </c>
      <c r="F235" s="4" t="s">
        <v>359</v>
      </c>
      <c r="G235" s="4">
        <v>4.0</v>
      </c>
      <c r="H235" s="6">
        <v>71294.6</v>
      </c>
      <c r="I235" s="6">
        <v>285178.4</v>
      </c>
      <c r="J235" s="6">
        <v>229833.01</v>
      </c>
      <c r="K235" s="6">
        <v>55345.39</v>
      </c>
      <c r="L235" s="4" t="str">
        <f t="shared" si="1"/>
        <v>Mar-2025</v>
      </c>
    </row>
    <row r="236" ht="15.75" customHeight="1">
      <c r="A236" s="4" t="s">
        <v>443</v>
      </c>
      <c r="B236" s="5">
        <v>45733.0</v>
      </c>
      <c r="C236" s="4" t="s">
        <v>72</v>
      </c>
      <c r="D236" s="4" t="s">
        <v>24</v>
      </c>
      <c r="E236" s="4" t="s">
        <v>20</v>
      </c>
      <c r="F236" s="4" t="s">
        <v>444</v>
      </c>
      <c r="G236" s="4">
        <v>2.0</v>
      </c>
      <c r="H236" s="6">
        <v>3122.32</v>
      </c>
      <c r="I236" s="6">
        <v>6244.64</v>
      </c>
      <c r="J236" s="6">
        <v>5229.01</v>
      </c>
      <c r="K236" s="6">
        <v>1015.63</v>
      </c>
      <c r="L236" s="4" t="str">
        <f t="shared" si="1"/>
        <v>Mar-2025</v>
      </c>
    </row>
    <row r="237" ht="15.75" customHeight="1">
      <c r="A237" s="4" t="s">
        <v>445</v>
      </c>
      <c r="B237" s="5">
        <v>45733.0</v>
      </c>
      <c r="C237" s="4" t="s">
        <v>160</v>
      </c>
      <c r="D237" s="4" t="s">
        <v>42</v>
      </c>
      <c r="E237" s="4" t="s">
        <v>29</v>
      </c>
      <c r="F237" s="4" t="s">
        <v>446</v>
      </c>
      <c r="G237" s="4">
        <v>7.0</v>
      </c>
      <c r="H237" s="6">
        <v>3680.53</v>
      </c>
      <c r="I237" s="6">
        <v>25763.71</v>
      </c>
      <c r="J237" s="6">
        <v>20129.38</v>
      </c>
      <c r="K237" s="6">
        <v>5634.33</v>
      </c>
      <c r="L237" s="4" t="str">
        <f t="shared" si="1"/>
        <v>Mar-2025</v>
      </c>
    </row>
    <row r="238" ht="15.75" customHeight="1">
      <c r="A238" s="4" t="s">
        <v>447</v>
      </c>
      <c r="B238" s="5">
        <v>45734.0</v>
      </c>
      <c r="C238" s="4" t="s">
        <v>38</v>
      </c>
      <c r="D238" s="4" t="s">
        <v>19</v>
      </c>
      <c r="E238" s="4" t="s">
        <v>20</v>
      </c>
      <c r="F238" s="4" t="s">
        <v>448</v>
      </c>
      <c r="G238" s="4">
        <v>2.0</v>
      </c>
      <c r="H238" s="6">
        <v>52607.59</v>
      </c>
      <c r="I238" s="6">
        <v>105215.18</v>
      </c>
      <c r="J238" s="6">
        <v>88922.33</v>
      </c>
      <c r="K238" s="6">
        <v>16292.85</v>
      </c>
      <c r="L238" s="4" t="str">
        <f t="shared" si="1"/>
        <v>Mar-2025</v>
      </c>
    </row>
    <row r="239" ht="15.75" customHeight="1">
      <c r="A239" s="4" t="s">
        <v>449</v>
      </c>
      <c r="B239" s="5">
        <v>45734.0</v>
      </c>
      <c r="C239" s="4" t="s">
        <v>18</v>
      </c>
      <c r="D239" s="4" t="s">
        <v>19</v>
      </c>
      <c r="E239" s="4" t="s">
        <v>29</v>
      </c>
      <c r="F239" s="4" t="s">
        <v>450</v>
      </c>
      <c r="G239" s="4">
        <v>2.0</v>
      </c>
      <c r="H239" s="6">
        <v>52499.21</v>
      </c>
      <c r="I239" s="6">
        <v>104998.42</v>
      </c>
      <c r="J239" s="6">
        <v>95380.89</v>
      </c>
      <c r="K239" s="6">
        <v>9617.53</v>
      </c>
      <c r="L239" s="4" t="str">
        <f t="shared" si="1"/>
        <v>Mar-2025</v>
      </c>
    </row>
    <row r="240" ht="15.75" customHeight="1">
      <c r="A240" s="4" t="s">
        <v>451</v>
      </c>
      <c r="B240" s="5">
        <v>45734.0</v>
      </c>
      <c r="C240" s="4" t="s">
        <v>109</v>
      </c>
      <c r="D240" s="4" t="s">
        <v>42</v>
      </c>
      <c r="E240" s="4" t="s">
        <v>25</v>
      </c>
      <c r="F240" s="4" t="s">
        <v>452</v>
      </c>
      <c r="G240" s="4">
        <v>5.0</v>
      </c>
      <c r="H240" s="6">
        <v>2037.1</v>
      </c>
      <c r="I240" s="6">
        <v>10185.5</v>
      </c>
      <c r="J240" s="6">
        <v>8345.46</v>
      </c>
      <c r="K240" s="6">
        <v>1840.04</v>
      </c>
      <c r="L240" s="4" t="str">
        <f t="shared" si="1"/>
        <v>Mar-2025</v>
      </c>
    </row>
    <row r="241" ht="15.75" customHeight="1">
      <c r="A241" s="4" t="s">
        <v>453</v>
      </c>
      <c r="B241" s="5">
        <v>45734.0</v>
      </c>
      <c r="C241" s="4" t="s">
        <v>69</v>
      </c>
      <c r="D241" s="4" t="s">
        <v>19</v>
      </c>
      <c r="E241" s="4" t="s">
        <v>15</v>
      </c>
      <c r="F241" s="4" t="s">
        <v>295</v>
      </c>
      <c r="G241" s="4">
        <v>6.0</v>
      </c>
      <c r="H241" s="6">
        <v>11319.66</v>
      </c>
      <c r="I241" s="6">
        <v>67917.96</v>
      </c>
      <c r="J241" s="6">
        <v>60246.98</v>
      </c>
      <c r="K241" s="6">
        <v>7670.98</v>
      </c>
      <c r="L241" s="4" t="str">
        <f t="shared" si="1"/>
        <v>Mar-2025</v>
      </c>
    </row>
    <row r="242" ht="15.75" customHeight="1">
      <c r="A242" s="4" t="s">
        <v>454</v>
      </c>
      <c r="B242" s="5">
        <v>45735.0</v>
      </c>
      <c r="C242" s="4" t="s">
        <v>92</v>
      </c>
      <c r="D242" s="4" t="s">
        <v>14</v>
      </c>
      <c r="E242" s="4" t="s">
        <v>15</v>
      </c>
      <c r="F242" s="4" t="s">
        <v>243</v>
      </c>
      <c r="G242" s="4">
        <v>4.0</v>
      </c>
      <c r="H242" s="6">
        <v>852.91</v>
      </c>
      <c r="I242" s="6">
        <v>3411.64</v>
      </c>
      <c r="J242" s="6">
        <v>2449.28</v>
      </c>
      <c r="K242" s="6">
        <v>962.36</v>
      </c>
      <c r="L242" s="4" t="str">
        <f t="shared" si="1"/>
        <v>Mar-2025</v>
      </c>
    </row>
    <row r="243" ht="15.75" customHeight="1">
      <c r="A243" s="4" t="s">
        <v>455</v>
      </c>
      <c r="B243" s="5">
        <v>45735.0</v>
      </c>
      <c r="C243" s="4" t="s">
        <v>61</v>
      </c>
      <c r="D243" s="4" t="s">
        <v>19</v>
      </c>
      <c r="E243" s="4" t="s">
        <v>25</v>
      </c>
      <c r="F243" s="4" t="s">
        <v>55</v>
      </c>
      <c r="G243" s="4">
        <v>5.0</v>
      </c>
      <c r="H243" s="6">
        <v>30392.56</v>
      </c>
      <c r="I243" s="6">
        <v>151962.8</v>
      </c>
      <c r="J243" s="6">
        <v>130284.52</v>
      </c>
      <c r="K243" s="6">
        <v>21678.28</v>
      </c>
      <c r="L243" s="4" t="str">
        <f t="shared" si="1"/>
        <v>Mar-2025</v>
      </c>
    </row>
    <row r="244" ht="15.75" customHeight="1">
      <c r="A244" s="4" t="s">
        <v>456</v>
      </c>
      <c r="B244" s="5">
        <v>45735.0</v>
      </c>
      <c r="C244" s="4" t="s">
        <v>61</v>
      </c>
      <c r="D244" s="4" t="s">
        <v>19</v>
      </c>
      <c r="E244" s="4" t="s">
        <v>25</v>
      </c>
      <c r="F244" s="4" t="s">
        <v>386</v>
      </c>
      <c r="G244" s="4">
        <v>7.0</v>
      </c>
      <c r="H244" s="6">
        <v>66866.52</v>
      </c>
      <c r="I244" s="6">
        <v>468065.64</v>
      </c>
      <c r="J244" s="6">
        <v>398218.2</v>
      </c>
      <c r="K244" s="6">
        <v>69847.44</v>
      </c>
      <c r="L244" s="4" t="str">
        <f t="shared" si="1"/>
        <v>Mar-2025</v>
      </c>
    </row>
    <row r="245" ht="15.75" customHeight="1">
      <c r="A245" s="4" t="s">
        <v>457</v>
      </c>
      <c r="B245" s="5">
        <v>45736.0</v>
      </c>
      <c r="C245" s="4" t="s">
        <v>140</v>
      </c>
      <c r="D245" s="4" t="s">
        <v>14</v>
      </c>
      <c r="E245" s="4" t="s">
        <v>25</v>
      </c>
      <c r="F245" s="4" t="s">
        <v>215</v>
      </c>
      <c r="G245" s="4">
        <v>1.0</v>
      </c>
      <c r="H245" s="6">
        <v>682.27</v>
      </c>
      <c r="I245" s="6">
        <v>682.27</v>
      </c>
      <c r="J245" s="6">
        <v>545.0</v>
      </c>
      <c r="K245" s="6">
        <v>137.27</v>
      </c>
      <c r="L245" s="4" t="str">
        <f t="shared" si="1"/>
        <v>Mar-2025</v>
      </c>
    </row>
    <row r="246" ht="15.75" customHeight="1">
      <c r="A246" s="4" t="s">
        <v>458</v>
      </c>
      <c r="B246" s="5">
        <v>45737.0</v>
      </c>
      <c r="C246" s="4" t="s">
        <v>69</v>
      </c>
      <c r="D246" s="4" t="s">
        <v>19</v>
      </c>
      <c r="E246" s="4" t="s">
        <v>29</v>
      </c>
      <c r="F246" s="4" t="s">
        <v>459</v>
      </c>
      <c r="G246" s="4">
        <v>7.0</v>
      </c>
      <c r="H246" s="6">
        <v>60646.84</v>
      </c>
      <c r="I246" s="6">
        <v>424527.88</v>
      </c>
      <c r="J246" s="6">
        <v>357005.02</v>
      </c>
      <c r="K246" s="6">
        <v>67522.86</v>
      </c>
      <c r="L246" s="4" t="str">
        <f t="shared" si="1"/>
        <v>Mar-2025</v>
      </c>
    </row>
    <row r="247" ht="15.75" customHeight="1">
      <c r="A247" s="4" t="s">
        <v>460</v>
      </c>
      <c r="B247" s="5">
        <v>45737.0</v>
      </c>
      <c r="C247" s="4" t="s">
        <v>75</v>
      </c>
      <c r="D247" s="4" t="s">
        <v>24</v>
      </c>
      <c r="E247" s="4" t="s">
        <v>25</v>
      </c>
      <c r="F247" s="4" t="s">
        <v>461</v>
      </c>
      <c r="G247" s="4">
        <v>1.0</v>
      </c>
      <c r="H247" s="6">
        <v>2554.95</v>
      </c>
      <c r="I247" s="6">
        <v>2554.95</v>
      </c>
      <c r="J247" s="6">
        <v>2063.43</v>
      </c>
      <c r="K247" s="6">
        <v>491.52</v>
      </c>
      <c r="L247" s="4" t="str">
        <f t="shared" si="1"/>
        <v>Mar-2025</v>
      </c>
    </row>
    <row r="248" ht="15.75" customHeight="1">
      <c r="A248" s="4" t="s">
        <v>462</v>
      </c>
      <c r="B248" s="5">
        <v>45737.0</v>
      </c>
      <c r="C248" s="4" t="s">
        <v>47</v>
      </c>
      <c r="D248" s="4" t="s">
        <v>14</v>
      </c>
      <c r="E248" s="4" t="s">
        <v>25</v>
      </c>
      <c r="F248" s="4" t="s">
        <v>463</v>
      </c>
      <c r="G248" s="4">
        <v>7.0</v>
      </c>
      <c r="H248" s="6">
        <v>216.77</v>
      </c>
      <c r="I248" s="6">
        <v>1517.39</v>
      </c>
      <c r="J248" s="6">
        <v>1046.02</v>
      </c>
      <c r="K248" s="6">
        <v>471.37</v>
      </c>
      <c r="L248" s="4" t="str">
        <f t="shared" si="1"/>
        <v>Mar-2025</v>
      </c>
    </row>
    <row r="249" ht="15.75" customHeight="1">
      <c r="A249" s="4" t="s">
        <v>464</v>
      </c>
      <c r="B249" s="5">
        <v>45738.0</v>
      </c>
      <c r="C249" s="4" t="s">
        <v>35</v>
      </c>
      <c r="D249" s="4" t="s">
        <v>14</v>
      </c>
      <c r="E249" s="4" t="s">
        <v>29</v>
      </c>
      <c r="F249" s="4" t="s">
        <v>291</v>
      </c>
      <c r="G249" s="4">
        <v>6.0</v>
      </c>
      <c r="H249" s="6">
        <v>1073.69</v>
      </c>
      <c r="I249" s="6">
        <v>6442.14</v>
      </c>
      <c r="J249" s="6">
        <v>4758.74</v>
      </c>
      <c r="K249" s="6">
        <v>1683.4</v>
      </c>
      <c r="L249" s="4" t="str">
        <f t="shared" si="1"/>
        <v>Mar-2025</v>
      </c>
    </row>
    <row r="250" ht="15.75" customHeight="1">
      <c r="A250" s="4" t="s">
        <v>465</v>
      </c>
      <c r="B250" s="5">
        <v>45738.0</v>
      </c>
      <c r="C250" s="4" t="s">
        <v>13</v>
      </c>
      <c r="D250" s="4" t="s">
        <v>14</v>
      </c>
      <c r="E250" s="4" t="s">
        <v>29</v>
      </c>
      <c r="F250" s="4" t="s">
        <v>156</v>
      </c>
      <c r="G250" s="4">
        <v>5.0</v>
      </c>
      <c r="H250" s="6">
        <v>1297.2</v>
      </c>
      <c r="I250" s="6">
        <v>6486.0</v>
      </c>
      <c r="J250" s="6">
        <v>4732.63</v>
      </c>
      <c r="K250" s="6">
        <v>1753.37</v>
      </c>
      <c r="L250" s="4" t="str">
        <f t="shared" si="1"/>
        <v>Mar-2025</v>
      </c>
    </row>
    <row r="251" ht="15.75" customHeight="1">
      <c r="A251" s="4" t="s">
        <v>466</v>
      </c>
      <c r="B251" s="5">
        <v>45738.0</v>
      </c>
      <c r="C251" s="4" t="s">
        <v>66</v>
      </c>
      <c r="D251" s="4" t="s">
        <v>42</v>
      </c>
      <c r="E251" s="4" t="s">
        <v>15</v>
      </c>
      <c r="F251" s="4" t="s">
        <v>392</v>
      </c>
      <c r="G251" s="4">
        <v>4.0</v>
      </c>
      <c r="H251" s="6">
        <v>1616.2</v>
      </c>
      <c r="I251" s="6">
        <v>6464.8</v>
      </c>
      <c r="J251" s="6">
        <v>5699.04</v>
      </c>
      <c r="K251" s="6">
        <v>765.76</v>
      </c>
      <c r="L251" s="4" t="str">
        <f t="shared" si="1"/>
        <v>Mar-2025</v>
      </c>
    </row>
    <row r="252" ht="15.75" customHeight="1">
      <c r="A252" s="4" t="s">
        <v>467</v>
      </c>
      <c r="B252" s="5">
        <v>45739.0</v>
      </c>
      <c r="C252" s="4" t="s">
        <v>28</v>
      </c>
      <c r="D252" s="4" t="s">
        <v>14</v>
      </c>
      <c r="E252" s="4" t="s">
        <v>25</v>
      </c>
      <c r="F252" s="4" t="s">
        <v>468</v>
      </c>
      <c r="G252" s="4">
        <v>1.0</v>
      </c>
      <c r="H252" s="6">
        <v>1243.36</v>
      </c>
      <c r="I252" s="6">
        <v>1243.36</v>
      </c>
      <c r="J252" s="6">
        <v>971.21</v>
      </c>
      <c r="K252" s="6">
        <v>272.15</v>
      </c>
      <c r="L252" s="4" t="str">
        <f t="shared" si="1"/>
        <v>Mar-2025</v>
      </c>
    </row>
    <row r="253" ht="15.75" customHeight="1">
      <c r="A253" s="4" t="s">
        <v>469</v>
      </c>
      <c r="B253" s="5">
        <v>45739.0</v>
      </c>
      <c r="C253" s="4" t="s">
        <v>102</v>
      </c>
      <c r="D253" s="4" t="s">
        <v>24</v>
      </c>
      <c r="E253" s="4" t="s">
        <v>20</v>
      </c>
      <c r="F253" s="4" t="s">
        <v>219</v>
      </c>
      <c r="G253" s="4">
        <v>2.0</v>
      </c>
      <c r="H253" s="6">
        <v>6122.05</v>
      </c>
      <c r="I253" s="6">
        <v>12244.1</v>
      </c>
      <c r="J253" s="6">
        <v>10738.47</v>
      </c>
      <c r="K253" s="6">
        <v>1505.63</v>
      </c>
      <c r="L253" s="4" t="str">
        <f t="shared" si="1"/>
        <v>Mar-2025</v>
      </c>
    </row>
    <row r="254" ht="15.75" customHeight="1">
      <c r="A254" s="4" t="s">
        <v>470</v>
      </c>
      <c r="B254" s="5">
        <v>45739.0</v>
      </c>
      <c r="C254" s="4" t="s">
        <v>32</v>
      </c>
      <c r="D254" s="4" t="s">
        <v>19</v>
      </c>
      <c r="E254" s="4" t="s">
        <v>25</v>
      </c>
      <c r="F254" s="4" t="s">
        <v>309</v>
      </c>
      <c r="G254" s="4">
        <v>5.0</v>
      </c>
      <c r="H254" s="6">
        <v>15105.97</v>
      </c>
      <c r="I254" s="6">
        <v>75529.85</v>
      </c>
      <c r="J254" s="6">
        <v>65958.39</v>
      </c>
      <c r="K254" s="6">
        <v>9571.46</v>
      </c>
      <c r="L254" s="4" t="str">
        <f t="shared" si="1"/>
        <v>Mar-2025</v>
      </c>
    </row>
    <row r="255" ht="15.75" customHeight="1">
      <c r="A255" s="4" t="s">
        <v>471</v>
      </c>
      <c r="B255" s="5">
        <v>45740.0</v>
      </c>
      <c r="C255" s="4" t="s">
        <v>38</v>
      </c>
      <c r="D255" s="4" t="s">
        <v>19</v>
      </c>
      <c r="E255" s="4" t="s">
        <v>25</v>
      </c>
      <c r="F255" s="4" t="s">
        <v>135</v>
      </c>
      <c r="G255" s="4">
        <v>2.0</v>
      </c>
      <c r="H255" s="6">
        <v>22229.7</v>
      </c>
      <c r="I255" s="6">
        <v>44459.4</v>
      </c>
      <c r="J255" s="6">
        <v>40106.28</v>
      </c>
      <c r="K255" s="6">
        <v>4353.12</v>
      </c>
      <c r="L255" s="4" t="str">
        <f t="shared" si="1"/>
        <v>Mar-2025</v>
      </c>
    </row>
    <row r="256" ht="15.75" customHeight="1">
      <c r="A256" s="4" t="s">
        <v>472</v>
      </c>
      <c r="B256" s="5">
        <v>45740.0</v>
      </c>
      <c r="C256" s="4" t="s">
        <v>160</v>
      </c>
      <c r="D256" s="4" t="s">
        <v>42</v>
      </c>
      <c r="E256" s="4" t="s">
        <v>20</v>
      </c>
      <c r="F256" s="4" t="s">
        <v>461</v>
      </c>
      <c r="G256" s="4">
        <v>2.0</v>
      </c>
      <c r="H256" s="6">
        <v>3138.84</v>
      </c>
      <c r="I256" s="6">
        <v>6277.68</v>
      </c>
      <c r="J256" s="6">
        <v>4922.67</v>
      </c>
      <c r="K256" s="6">
        <v>1355.01</v>
      </c>
      <c r="L256" s="4" t="str">
        <f t="shared" si="1"/>
        <v>Mar-2025</v>
      </c>
    </row>
    <row r="257" ht="15.75" customHeight="1">
      <c r="A257" s="4" t="s">
        <v>473</v>
      </c>
      <c r="B257" s="5">
        <v>45740.0</v>
      </c>
      <c r="C257" s="4" t="s">
        <v>23</v>
      </c>
      <c r="D257" s="4" t="s">
        <v>24</v>
      </c>
      <c r="E257" s="4" t="s">
        <v>29</v>
      </c>
      <c r="F257" s="4" t="s">
        <v>76</v>
      </c>
      <c r="G257" s="4">
        <v>2.0</v>
      </c>
      <c r="H257" s="6">
        <v>5893.93</v>
      </c>
      <c r="I257" s="6">
        <v>11787.86</v>
      </c>
      <c r="J257" s="6">
        <v>9603.39</v>
      </c>
      <c r="K257" s="6">
        <v>2184.47</v>
      </c>
      <c r="L257" s="4" t="str">
        <f t="shared" si="1"/>
        <v>Mar-2025</v>
      </c>
    </row>
    <row r="258" ht="15.75" customHeight="1">
      <c r="A258" s="4" t="s">
        <v>474</v>
      </c>
      <c r="B258" s="5">
        <v>45740.0</v>
      </c>
      <c r="C258" s="4" t="s">
        <v>102</v>
      </c>
      <c r="D258" s="4" t="s">
        <v>24</v>
      </c>
      <c r="E258" s="4" t="s">
        <v>20</v>
      </c>
      <c r="F258" s="4" t="s">
        <v>475</v>
      </c>
      <c r="G258" s="4">
        <v>6.0</v>
      </c>
      <c r="H258" s="6">
        <v>10047.18</v>
      </c>
      <c r="I258" s="6">
        <v>60283.08</v>
      </c>
      <c r="J258" s="6">
        <v>43812.47</v>
      </c>
      <c r="K258" s="6">
        <v>16470.61</v>
      </c>
      <c r="L258" s="4" t="str">
        <f t="shared" si="1"/>
        <v>Mar-2025</v>
      </c>
    </row>
    <row r="259" ht="15.75" customHeight="1">
      <c r="A259" s="4" t="s">
        <v>476</v>
      </c>
      <c r="B259" s="5">
        <v>45741.0</v>
      </c>
      <c r="C259" s="4" t="s">
        <v>155</v>
      </c>
      <c r="D259" s="4" t="s">
        <v>24</v>
      </c>
      <c r="E259" s="4" t="s">
        <v>25</v>
      </c>
      <c r="F259" s="4" t="s">
        <v>201</v>
      </c>
      <c r="G259" s="4">
        <v>1.0</v>
      </c>
      <c r="H259" s="6">
        <v>8351.77</v>
      </c>
      <c r="I259" s="6">
        <v>8351.77</v>
      </c>
      <c r="J259" s="6">
        <v>6920.95</v>
      </c>
      <c r="K259" s="6">
        <v>1430.82</v>
      </c>
      <c r="L259" s="4" t="str">
        <f t="shared" si="1"/>
        <v>Mar-2025</v>
      </c>
    </row>
    <row r="260" ht="15.75" customHeight="1">
      <c r="A260" s="4" t="s">
        <v>477</v>
      </c>
      <c r="B260" s="5">
        <v>45741.0</v>
      </c>
      <c r="C260" s="4" t="s">
        <v>32</v>
      </c>
      <c r="D260" s="4" t="s">
        <v>19</v>
      </c>
      <c r="E260" s="4" t="s">
        <v>25</v>
      </c>
      <c r="F260" s="4" t="s">
        <v>478</v>
      </c>
      <c r="G260" s="4">
        <v>3.0</v>
      </c>
      <c r="H260" s="6">
        <v>51055.71</v>
      </c>
      <c r="I260" s="6">
        <v>153167.13</v>
      </c>
      <c r="J260" s="6">
        <v>127999.39</v>
      </c>
      <c r="K260" s="6">
        <v>25167.74</v>
      </c>
      <c r="L260" s="4" t="str">
        <f t="shared" si="1"/>
        <v>Mar-2025</v>
      </c>
    </row>
    <row r="261" ht="15.75" customHeight="1">
      <c r="A261" s="4" t="s">
        <v>479</v>
      </c>
      <c r="B261" s="5">
        <v>45741.0</v>
      </c>
      <c r="C261" s="4" t="s">
        <v>155</v>
      </c>
      <c r="D261" s="4" t="s">
        <v>24</v>
      </c>
      <c r="E261" s="4" t="s">
        <v>20</v>
      </c>
      <c r="F261" s="4" t="s">
        <v>64</v>
      </c>
      <c r="G261" s="4">
        <v>6.0</v>
      </c>
      <c r="H261" s="6">
        <v>16582.72</v>
      </c>
      <c r="I261" s="6">
        <v>99496.32</v>
      </c>
      <c r="J261" s="6">
        <v>73892.47</v>
      </c>
      <c r="K261" s="6">
        <v>25603.85</v>
      </c>
      <c r="L261" s="4" t="str">
        <f t="shared" si="1"/>
        <v>Mar-2025</v>
      </c>
    </row>
    <row r="262" ht="15.75" customHeight="1">
      <c r="A262" s="4" t="s">
        <v>480</v>
      </c>
      <c r="B262" s="5">
        <v>45741.0</v>
      </c>
      <c r="C262" s="4" t="s">
        <v>50</v>
      </c>
      <c r="D262" s="4" t="s">
        <v>42</v>
      </c>
      <c r="E262" s="4" t="s">
        <v>25</v>
      </c>
      <c r="F262" s="4" t="s">
        <v>481</v>
      </c>
      <c r="G262" s="4">
        <v>6.0</v>
      </c>
      <c r="H262" s="6">
        <v>807.41</v>
      </c>
      <c r="I262" s="6">
        <v>4844.46</v>
      </c>
      <c r="J262" s="6">
        <v>3702.32</v>
      </c>
      <c r="K262" s="6">
        <v>1142.14</v>
      </c>
      <c r="L262" s="4" t="str">
        <f t="shared" si="1"/>
        <v>Mar-2025</v>
      </c>
    </row>
    <row r="263" ht="15.75" customHeight="1">
      <c r="A263" s="4" t="s">
        <v>482</v>
      </c>
      <c r="B263" s="5">
        <v>45741.0</v>
      </c>
      <c r="C263" s="4" t="s">
        <v>32</v>
      </c>
      <c r="D263" s="4" t="s">
        <v>19</v>
      </c>
      <c r="E263" s="4" t="s">
        <v>25</v>
      </c>
      <c r="F263" s="4" t="s">
        <v>365</v>
      </c>
      <c r="G263" s="4">
        <v>7.0</v>
      </c>
      <c r="H263" s="6">
        <v>61328.55</v>
      </c>
      <c r="I263" s="6">
        <v>429299.85</v>
      </c>
      <c r="J263" s="6">
        <v>375714.14</v>
      </c>
      <c r="K263" s="6">
        <v>53585.71</v>
      </c>
      <c r="L263" s="4" t="str">
        <f t="shared" si="1"/>
        <v>Mar-2025</v>
      </c>
    </row>
    <row r="264" ht="15.75" customHeight="1">
      <c r="A264" s="4" t="s">
        <v>483</v>
      </c>
      <c r="B264" s="5">
        <v>45741.0</v>
      </c>
      <c r="C264" s="4" t="s">
        <v>47</v>
      </c>
      <c r="D264" s="4" t="s">
        <v>14</v>
      </c>
      <c r="E264" s="4" t="s">
        <v>25</v>
      </c>
      <c r="F264" s="4" t="s">
        <v>99</v>
      </c>
      <c r="G264" s="4">
        <v>7.0</v>
      </c>
      <c r="H264" s="6">
        <v>1366.87</v>
      </c>
      <c r="I264" s="6">
        <v>9568.09</v>
      </c>
      <c r="J264" s="6">
        <v>7398.48</v>
      </c>
      <c r="K264" s="6">
        <v>2169.61</v>
      </c>
      <c r="L264" s="4" t="str">
        <f t="shared" si="1"/>
        <v>Mar-2025</v>
      </c>
    </row>
    <row r="265" ht="15.75" customHeight="1">
      <c r="A265" s="4" t="s">
        <v>484</v>
      </c>
      <c r="B265" s="5">
        <v>45741.0</v>
      </c>
      <c r="C265" s="4" t="s">
        <v>75</v>
      </c>
      <c r="D265" s="4" t="s">
        <v>24</v>
      </c>
      <c r="E265" s="4" t="s">
        <v>15</v>
      </c>
      <c r="F265" s="4" t="s">
        <v>485</v>
      </c>
      <c r="G265" s="4">
        <v>6.0</v>
      </c>
      <c r="H265" s="6">
        <v>11981.73</v>
      </c>
      <c r="I265" s="6">
        <v>71890.38</v>
      </c>
      <c r="J265" s="6">
        <v>58673.52</v>
      </c>
      <c r="K265" s="6">
        <v>13216.86</v>
      </c>
      <c r="L265" s="4" t="str">
        <f t="shared" si="1"/>
        <v>Mar-2025</v>
      </c>
    </row>
    <row r="266" ht="15.75" customHeight="1">
      <c r="A266" s="4" t="s">
        <v>486</v>
      </c>
      <c r="B266" s="5">
        <v>45742.0</v>
      </c>
      <c r="C266" s="4" t="s">
        <v>13</v>
      </c>
      <c r="D266" s="4" t="s">
        <v>14</v>
      </c>
      <c r="E266" s="4" t="s">
        <v>25</v>
      </c>
      <c r="F266" s="4" t="s">
        <v>382</v>
      </c>
      <c r="G266" s="4">
        <v>7.0</v>
      </c>
      <c r="H266" s="6">
        <v>834.62</v>
      </c>
      <c r="I266" s="6">
        <v>5842.34</v>
      </c>
      <c r="J266" s="6">
        <v>4344.59</v>
      </c>
      <c r="K266" s="6">
        <v>1497.75</v>
      </c>
      <c r="L266" s="4" t="str">
        <f t="shared" si="1"/>
        <v>Mar-2025</v>
      </c>
    </row>
    <row r="267" ht="15.75" customHeight="1">
      <c r="A267" s="4" t="s">
        <v>487</v>
      </c>
      <c r="B267" s="5">
        <v>45742.0</v>
      </c>
      <c r="C267" s="4" t="s">
        <v>140</v>
      </c>
      <c r="D267" s="4" t="s">
        <v>14</v>
      </c>
      <c r="E267" s="4" t="s">
        <v>25</v>
      </c>
      <c r="F267" s="4" t="s">
        <v>186</v>
      </c>
      <c r="G267" s="4">
        <v>1.0</v>
      </c>
      <c r="H267" s="6">
        <v>624.16</v>
      </c>
      <c r="I267" s="6">
        <v>624.16</v>
      </c>
      <c r="J267" s="6">
        <v>513.78</v>
      </c>
      <c r="K267" s="6">
        <v>110.38</v>
      </c>
      <c r="L267" s="4" t="str">
        <f t="shared" si="1"/>
        <v>Mar-2025</v>
      </c>
    </row>
    <row r="268" ht="15.75" customHeight="1">
      <c r="A268" s="4" t="s">
        <v>488</v>
      </c>
      <c r="B268" s="5">
        <v>45742.0</v>
      </c>
      <c r="C268" s="4" t="s">
        <v>109</v>
      </c>
      <c r="D268" s="4" t="s">
        <v>42</v>
      </c>
      <c r="E268" s="4" t="s">
        <v>15</v>
      </c>
      <c r="F268" s="4" t="s">
        <v>233</v>
      </c>
      <c r="G268" s="4">
        <v>7.0</v>
      </c>
      <c r="H268" s="6">
        <v>1324.13</v>
      </c>
      <c r="I268" s="6">
        <v>9268.91</v>
      </c>
      <c r="J268" s="6">
        <v>7895.08</v>
      </c>
      <c r="K268" s="6">
        <v>1373.83</v>
      </c>
      <c r="L268" s="4" t="str">
        <f t="shared" si="1"/>
        <v>Mar-2025</v>
      </c>
    </row>
    <row r="269" ht="15.75" customHeight="1">
      <c r="A269" s="4" t="s">
        <v>489</v>
      </c>
      <c r="B269" s="5">
        <v>45743.0</v>
      </c>
      <c r="C269" s="4" t="s">
        <v>140</v>
      </c>
      <c r="D269" s="4" t="s">
        <v>14</v>
      </c>
      <c r="E269" s="4" t="s">
        <v>20</v>
      </c>
      <c r="F269" s="4" t="s">
        <v>33</v>
      </c>
      <c r="G269" s="4">
        <v>1.0</v>
      </c>
      <c r="H269" s="6">
        <v>525.7</v>
      </c>
      <c r="I269" s="6">
        <v>525.7</v>
      </c>
      <c r="J269" s="6">
        <v>406.34</v>
      </c>
      <c r="K269" s="6">
        <v>119.36</v>
      </c>
      <c r="L269" s="4" t="str">
        <f t="shared" si="1"/>
        <v>Mar-2025</v>
      </c>
    </row>
    <row r="270" ht="15.75" customHeight="1">
      <c r="A270" s="4" t="s">
        <v>490</v>
      </c>
      <c r="B270" s="5">
        <v>45743.0</v>
      </c>
      <c r="C270" s="4" t="s">
        <v>23</v>
      </c>
      <c r="D270" s="4" t="s">
        <v>24</v>
      </c>
      <c r="E270" s="4" t="s">
        <v>29</v>
      </c>
      <c r="F270" s="4" t="s">
        <v>162</v>
      </c>
      <c r="G270" s="4">
        <v>7.0</v>
      </c>
      <c r="H270" s="6">
        <v>7899.46</v>
      </c>
      <c r="I270" s="6">
        <v>55296.22</v>
      </c>
      <c r="J270" s="6">
        <v>48490.87</v>
      </c>
      <c r="K270" s="6">
        <v>6805.35</v>
      </c>
      <c r="L270" s="4" t="str">
        <f t="shared" si="1"/>
        <v>Mar-2025</v>
      </c>
    </row>
    <row r="271" ht="15.75" customHeight="1">
      <c r="A271" s="4" t="s">
        <v>491</v>
      </c>
      <c r="B271" s="5">
        <v>45743.0</v>
      </c>
      <c r="C271" s="4" t="s">
        <v>66</v>
      </c>
      <c r="D271" s="4" t="s">
        <v>42</v>
      </c>
      <c r="E271" s="4" t="s">
        <v>29</v>
      </c>
      <c r="F271" s="4" t="s">
        <v>492</v>
      </c>
      <c r="G271" s="4">
        <v>2.0</v>
      </c>
      <c r="H271" s="6">
        <v>1844.7</v>
      </c>
      <c r="I271" s="6">
        <v>3689.4</v>
      </c>
      <c r="J271" s="6">
        <v>3052.31</v>
      </c>
      <c r="K271" s="6">
        <v>637.09</v>
      </c>
      <c r="L271" s="4" t="str">
        <f t="shared" si="1"/>
        <v>Mar-2025</v>
      </c>
    </row>
    <row r="272" ht="15.75" customHeight="1">
      <c r="A272" s="4" t="s">
        <v>493</v>
      </c>
      <c r="B272" s="5">
        <v>45743.0</v>
      </c>
      <c r="C272" s="4" t="s">
        <v>72</v>
      </c>
      <c r="D272" s="4" t="s">
        <v>24</v>
      </c>
      <c r="E272" s="4" t="s">
        <v>15</v>
      </c>
      <c r="F272" s="4" t="s">
        <v>156</v>
      </c>
      <c r="G272" s="4">
        <v>2.0</v>
      </c>
      <c r="H272" s="6">
        <v>11211.89</v>
      </c>
      <c r="I272" s="6">
        <v>22423.78</v>
      </c>
      <c r="J272" s="6">
        <v>18991.16</v>
      </c>
      <c r="K272" s="6">
        <v>3432.62</v>
      </c>
      <c r="L272" s="4" t="str">
        <f t="shared" si="1"/>
        <v>Mar-2025</v>
      </c>
    </row>
    <row r="273" ht="15.75" customHeight="1">
      <c r="A273" s="4" t="s">
        <v>494</v>
      </c>
      <c r="B273" s="5">
        <v>45743.0</v>
      </c>
      <c r="C273" s="4" t="s">
        <v>32</v>
      </c>
      <c r="D273" s="4" t="s">
        <v>19</v>
      </c>
      <c r="E273" s="4" t="s">
        <v>25</v>
      </c>
      <c r="F273" s="4" t="s">
        <v>252</v>
      </c>
      <c r="G273" s="4">
        <v>7.0</v>
      </c>
      <c r="H273" s="6">
        <v>3837.3</v>
      </c>
      <c r="I273" s="6">
        <v>26861.1</v>
      </c>
      <c r="J273" s="6">
        <v>24552.14</v>
      </c>
      <c r="K273" s="6">
        <v>2308.96</v>
      </c>
      <c r="L273" s="4" t="str">
        <f t="shared" si="1"/>
        <v>Mar-2025</v>
      </c>
    </row>
    <row r="274" ht="15.75" customHeight="1">
      <c r="A274" s="4" t="s">
        <v>495</v>
      </c>
      <c r="B274" s="5">
        <v>45744.0</v>
      </c>
      <c r="C274" s="4" t="s">
        <v>41</v>
      </c>
      <c r="D274" s="4" t="s">
        <v>42</v>
      </c>
      <c r="E274" s="4" t="s">
        <v>29</v>
      </c>
      <c r="F274" s="4" t="s">
        <v>86</v>
      </c>
      <c r="G274" s="4">
        <v>5.0</v>
      </c>
      <c r="H274" s="6">
        <v>4091.28</v>
      </c>
      <c r="I274" s="6">
        <v>20456.4</v>
      </c>
      <c r="J274" s="6">
        <v>15462.75</v>
      </c>
      <c r="K274" s="6">
        <v>4993.65</v>
      </c>
      <c r="L274" s="4" t="str">
        <f t="shared" si="1"/>
        <v>Mar-2025</v>
      </c>
    </row>
    <row r="275" ht="15.75" customHeight="1">
      <c r="A275" s="4" t="s">
        <v>496</v>
      </c>
      <c r="B275" s="5">
        <v>45744.0</v>
      </c>
      <c r="C275" s="4" t="s">
        <v>47</v>
      </c>
      <c r="D275" s="4" t="s">
        <v>14</v>
      </c>
      <c r="E275" s="4" t="s">
        <v>15</v>
      </c>
      <c r="F275" s="4" t="s">
        <v>497</v>
      </c>
      <c r="G275" s="4">
        <v>6.0</v>
      </c>
      <c r="H275" s="6">
        <v>1330.52</v>
      </c>
      <c r="I275" s="6">
        <v>7983.12</v>
      </c>
      <c r="J275" s="6">
        <v>5671.57</v>
      </c>
      <c r="K275" s="6">
        <v>2311.55</v>
      </c>
      <c r="L275" s="4" t="str">
        <f t="shared" si="1"/>
        <v>Mar-2025</v>
      </c>
    </row>
    <row r="276" ht="15.75" customHeight="1">
      <c r="A276" s="4" t="s">
        <v>498</v>
      </c>
      <c r="B276" s="5">
        <v>45744.0</v>
      </c>
      <c r="C276" s="4" t="s">
        <v>50</v>
      </c>
      <c r="D276" s="4" t="s">
        <v>42</v>
      </c>
      <c r="E276" s="4" t="s">
        <v>25</v>
      </c>
      <c r="F276" s="4" t="s">
        <v>302</v>
      </c>
      <c r="G276" s="4">
        <v>1.0</v>
      </c>
      <c r="H276" s="6">
        <v>2312.28</v>
      </c>
      <c r="I276" s="6">
        <v>2312.28</v>
      </c>
      <c r="J276" s="6">
        <v>1781.68</v>
      </c>
      <c r="K276" s="6">
        <v>530.6</v>
      </c>
      <c r="L276" s="4" t="str">
        <f t="shared" si="1"/>
        <v>Mar-2025</v>
      </c>
    </row>
    <row r="277" ht="15.75" customHeight="1">
      <c r="A277" s="4" t="s">
        <v>499</v>
      </c>
      <c r="B277" s="5">
        <v>45744.0</v>
      </c>
      <c r="C277" s="4" t="s">
        <v>35</v>
      </c>
      <c r="D277" s="4" t="s">
        <v>14</v>
      </c>
      <c r="E277" s="4" t="s">
        <v>29</v>
      </c>
      <c r="F277" s="4" t="s">
        <v>500</v>
      </c>
      <c r="G277" s="4">
        <v>7.0</v>
      </c>
      <c r="H277" s="6">
        <v>218.78</v>
      </c>
      <c r="I277" s="6">
        <v>1531.46</v>
      </c>
      <c r="J277" s="6">
        <v>1140.32</v>
      </c>
      <c r="K277" s="6">
        <v>391.14</v>
      </c>
      <c r="L277" s="4" t="str">
        <f t="shared" si="1"/>
        <v>Mar-2025</v>
      </c>
    </row>
    <row r="278" ht="15.75" customHeight="1">
      <c r="A278" s="4" t="s">
        <v>501</v>
      </c>
      <c r="B278" s="5">
        <v>45745.0</v>
      </c>
      <c r="C278" s="4" t="s">
        <v>140</v>
      </c>
      <c r="D278" s="4" t="s">
        <v>14</v>
      </c>
      <c r="E278" s="4" t="s">
        <v>15</v>
      </c>
      <c r="F278" s="4" t="s">
        <v>418</v>
      </c>
      <c r="G278" s="4">
        <v>6.0</v>
      </c>
      <c r="H278" s="6">
        <v>499.28</v>
      </c>
      <c r="I278" s="6">
        <v>2995.68</v>
      </c>
      <c r="J278" s="6">
        <v>2076.16</v>
      </c>
      <c r="K278" s="6">
        <v>919.52</v>
      </c>
      <c r="L278" s="4" t="str">
        <f t="shared" si="1"/>
        <v>Mar-2025</v>
      </c>
    </row>
    <row r="279" ht="15.75" customHeight="1">
      <c r="A279" s="4" t="s">
        <v>502</v>
      </c>
      <c r="B279" s="5">
        <v>45745.0</v>
      </c>
      <c r="C279" s="4" t="s">
        <v>102</v>
      </c>
      <c r="D279" s="4" t="s">
        <v>24</v>
      </c>
      <c r="E279" s="4" t="s">
        <v>25</v>
      </c>
      <c r="F279" s="4" t="s">
        <v>141</v>
      </c>
      <c r="G279" s="4">
        <v>4.0</v>
      </c>
      <c r="H279" s="6">
        <v>6852.26</v>
      </c>
      <c r="I279" s="6">
        <v>27409.04</v>
      </c>
      <c r="J279" s="6">
        <v>21882.44</v>
      </c>
      <c r="K279" s="6">
        <v>5526.6</v>
      </c>
      <c r="L279" s="4" t="str">
        <f t="shared" si="1"/>
        <v>Mar-2025</v>
      </c>
    </row>
    <row r="280" ht="15.75" customHeight="1">
      <c r="A280" s="4" t="s">
        <v>503</v>
      </c>
      <c r="B280" s="5">
        <v>45745.0</v>
      </c>
      <c r="C280" s="4" t="s">
        <v>35</v>
      </c>
      <c r="D280" s="4" t="s">
        <v>14</v>
      </c>
      <c r="E280" s="4" t="s">
        <v>29</v>
      </c>
      <c r="F280" s="4" t="s">
        <v>328</v>
      </c>
      <c r="G280" s="4">
        <v>3.0</v>
      </c>
      <c r="H280" s="6">
        <v>564.51</v>
      </c>
      <c r="I280" s="6">
        <v>1693.53</v>
      </c>
      <c r="J280" s="6">
        <v>1364.31</v>
      </c>
      <c r="K280" s="6">
        <v>329.22</v>
      </c>
      <c r="L280" s="4" t="str">
        <f t="shared" si="1"/>
        <v>Mar-2025</v>
      </c>
    </row>
    <row r="281" ht="15.75" customHeight="1">
      <c r="A281" s="4" t="s">
        <v>504</v>
      </c>
      <c r="B281" s="5">
        <v>45746.0</v>
      </c>
      <c r="C281" s="4" t="s">
        <v>109</v>
      </c>
      <c r="D281" s="4" t="s">
        <v>42</v>
      </c>
      <c r="E281" s="4" t="s">
        <v>29</v>
      </c>
      <c r="F281" s="4" t="s">
        <v>444</v>
      </c>
      <c r="G281" s="4">
        <v>7.0</v>
      </c>
      <c r="H281" s="6">
        <v>2266.37</v>
      </c>
      <c r="I281" s="6">
        <v>15864.59</v>
      </c>
      <c r="J281" s="6">
        <v>12987.04</v>
      </c>
      <c r="K281" s="6">
        <v>2877.55</v>
      </c>
      <c r="L281" s="4" t="str">
        <f t="shared" si="1"/>
        <v>Mar-2025</v>
      </c>
    </row>
    <row r="282" ht="15.75" customHeight="1">
      <c r="A282" s="4" t="s">
        <v>505</v>
      </c>
      <c r="B282" s="5">
        <v>45746.0</v>
      </c>
      <c r="C282" s="4" t="s">
        <v>18</v>
      </c>
      <c r="D282" s="4" t="s">
        <v>19</v>
      </c>
      <c r="E282" s="4" t="s">
        <v>15</v>
      </c>
      <c r="F282" s="4" t="s">
        <v>195</v>
      </c>
      <c r="G282" s="4">
        <v>7.0</v>
      </c>
      <c r="H282" s="6">
        <v>53762.66</v>
      </c>
      <c r="I282" s="6">
        <v>376338.62</v>
      </c>
      <c r="J282" s="6">
        <v>305601.98</v>
      </c>
      <c r="K282" s="6">
        <v>70736.64</v>
      </c>
      <c r="L282" s="4" t="str">
        <f t="shared" si="1"/>
        <v>Mar-2025</v>
      </c>
    </row>
    <row r="283" ht="15.75" customHeight="1">
      <c r="A283" s="4" t="s">
        <v>506</v>
      </c>
      <c r="B283" s="5">
        <v>45746.0</v>
      </c>
      <c r="C283" s="4" t="s">
        <v>140</v>
      </c>
      <c r="D283" s="4" t="s">
        <v>14</v>
      </c>
      <c r="E283" s="4" t="s">
        <v>25</v>
      </c>
      <c r="F283" s="4" t="s">
        <v>507</v>
      </c>
      <c r="G283" s="4">
        <v>3.0</v>
      </c>
      <c r="H283" s="6">
        <v>134.53</v>
      </c>
      <c r="I283" s="6">
        <v>403.59</v>
      </c>
      <c r="J283" s="6">
        <v>283.78</v>
      </c>
      <c r="K283" s="6">
        <v>119.81</v>
      </c>
      <c r="L283" s="4" t="str">
        <f t="shared" si="1"/>
        <v>Mar-2025</v>
      </c>
    </row>
    <row r="284" ht="15.75" customHeight="1">
      <c r="A284" s="4" t="s">
        <v>508</v>
      </c>
      <c r="B284" s="5">
        <v>45747.0</v>
      </c>
      <c r="C284" s="4" t="s">
        <v>32</v>
      </c>
      <c r="D284" s="4" t="s">
        <v>19</v>
      </c>
      <c r="E284" s="4" t="s">
        <v>20</v>
      </c>
      <c r="F284" s="4" t="s">
        <v>315</v>
      </c>
      <c r="G284" s="4">
        <v>7.0</v>
      </c>
      <c r="H284" s="6">
        <v>32523.61</v>
      </c>
      <c r="I284" s="6">
        <v>227665.27</v>
      </c>
      <c r="J284" s="6">
        <v>205057.37</v>
      </c>
      <c r="K284" s="6">
        <v>22607.9</v>
      </c>
      <c r="L284" s="4" t="str">
        <f t="shared" si="1"/>
        <v>Mar-2025</v>
      </c>
    </row>
    <row r="285" ht="15.75" customHeight="1">
      <c r="A285" s="4" t="s">
        <v>509</v>
      </c>
      <c r="B285" s="5">
        <v>45747.0</v>
      </c>
      <c r="C285" s="4" t="s">
        <v>23</v>
      </c>
      <c r="D285" s="4" t="s">
        <v>24</v>
      </c>
      <c r="E285" s="4" t="s">
        <v>25</v>
      </c>
      <c r="F285" s="4" t="s">
        <v>510</v>
      </c>
      <c r="G285" s="4">
        <v>5.0</v>
      </c>
      <c r="H285" s="6">
        <v>9145.47</v>
      </c>
      <c r="I285" s="6">
        <v>45727.35</v>
      </c>
      <c r="J285" s="6">
        <v>38328.06</v>
      </c>
      <c r="K285" s="6">
        <v>7399.29</v>
      </c>
      <c r="L285" s="4" t="str">
        <f t="shared" si="1"/>
        <v>Mar-2025</v>
      </c>
    </row>
    <row r="286" ht="15.75" customHeight="1">
      <c r="A286" s="4" t="s">
        <v>511</v>
      </c>
      <c r="B286" s="5">
        <v>45747.0</v>
      </c>
      <c r="C286" s="4" t="s">
        <v>69</v>
      </c>
      <c r="D286" s="4" t="s">
        <v>19</v>
      </c>
      <c r="E286" s="4" t="s">
        <v>25</v>
      </c>
      <c r="F286" s="4" t="s">
        <v>213</v>
      </c>
      <c r="G286" s="4">
        <v>4.0</v>
      </c>
      <c r="H286" s="6">
        <v>43056.7</v>
      </c>
      <c r="I286" s="6">
        <v>172226.8</v>
      </c>
      <c r="J286" s="6">
        <v>141245.45</v>
      </c>
      <c r="K286" s="6">
        <v>30981.35</v>
      </c>
      <c r="L286" s="4" t="str">
        <f t="shared" si="1"/>
        <v>Mar-2025</v>
      </c>
    </row>
    <row r="287" ht="15.75" customHeight="1">
      <c r="A287" s="4" t="s">
        <v>512</v>
      </c>
      <c r="B287" s="5">
        <v>45747.0</v>
      </c>
      <c r="C287" s="4" t="s">
        <v>32</v>
      </c>
      <c r="D287" s="4" t="s">
        <v>19</v>
      </c>
      <c r="E287" s="4" t="s">
        <v>25</v>
      </c>
      <c r="F287" s="4" t="s">
        <v>497</v>
      </c>
      <c r="G287" s="4">
        <v>4.0</v>
      </c>
      <c r="H287" s="6">
        <v>44107.28</v>
      </c>
      <c r="I287" s="6">
        <v>176429.12</v>
      </c>
      <c r="J287" s="6">
        <v>160669.03</v>
      </c>
      <c r="K287" s="6">
        <v>15760.09</v>
      </c>
      <c r="L287" s="4" t="str">
        <f t="shared" si="1"/>
        <v>Mar-2025</v>
      </c>
    </row>
    <row r="288" ht="15.75" customHeight="1">
      <c r="A288" s="4" t="s">
        <v>513</v>
      </c>
      <c r="B288" s="5">
        <v>45748.0</v>
      </c>
      <c r="C288" s="4" t="s">
        <v>28</v>
      </c>
      <c r="D288" s="4" t="s">
        <v>14</v>
      </c>
      <c r="E288" s="4" t="s">
        <v>15</v>
      </c>
      <c r="F288" s="4" t="s">
        <v>384</v>
      </c>
      <c r="G288" s="4">
        <v>1.0</v>
      </c>
      <c r="H288" s="6">
        <v>1486.43</v>
      </c>
      <c r="I288" s="6">
        <v>1486.43</v>
      </c>
      <c r="J288" s="6">
        <v>1180.2</v>
      </c>
      <c r="K288" s="6">
        <v>306.23</v>
      </c>
      <c r="L288" s="4" t="str">
        <f t="shared" si="1"/>
        <v>Apr-2025</v>
      </c>
    </row>
    <row r="289" ht="15.75" customHeight="1">
      <c r="A289" s="4" t="s">
        <v>514</v>
      </c>
      <c r="B289" s="5">
        <v>45749.0</v>
      </c>
      <c r="C289" s="4" t="s">
        <v>35</v>
      </c>
      <c r="D289" s="4" t="s">
        <v>14</v>
      </c>
      <c r="E289" s="4" t="s">
        <v>25</v>
      </c>
      <c r="F289" s="4" t="s">
        <v>175</v>
      </c>
      <c r="G289" s="4">
        <v>1.0</v>
      </c>
      <c r="H289" s="6">
        <v>664.99</v>
      </c>
      <c r="I289" s="6">
        <v>664.99</v>
      </c>
      <c r="J289" s="6">
        <v>460.61</v>
      </c>
      <c r="K289" s="6">
        <v>204.38</v>
      </c>
      <c r="L289" s="4" t="str">
        <f t="shared" si="1"/>
        <v>Apr-2025</v>
      </c>
    </row>
    <row r="290" ht="15.75" customHeight="1">
      <c r="A290" s="4" t="s">
        <v>515</v>
      </c>
      <c r="B290" s="5">
        <v>45749.0</v>
      </c>
      <c r="C290" s="4" t="s">
        <v>13</v>
      </c>
      <c r="D290" s="4" t="s">
        <v>14</v>
      </c>
      <c r="E290" s="4" t="s">
        <v>15</v>
      </c>
      <c r="F290" s="4" t="s">
        <v>516</v>
      </c>
      <c r="G290" s="4">
        <v>5.0</v>
      </c>
      <c r="H290" s="6">
        <v>693.86</v>
      </c>
      <c r="I290" s="6">
        <v>3469.3</v>
      </c>
      <c r="J290" s="6">
        <v>2711.94</v>
      </c>
      <c r="K290" s="6">
        <v>757.36</v>
      </c>
      <c r="L290" s="4" t="str">
        <f t="shared" si="1"/>
        <v>Apr-2025</v>
      </c>
    </row>
    <row r="291" ht="15.75" customHeight="1">
      <c r="A291" s="4" t="s">
        <v>517</v>
      </c>
      <c r="B291" s="5">
        <v>45750.0</v>
      </c>
      <c r="C291" s="4" t="s">
        <v>61</v>
      </c>
      <c r="D291" s="4" t="s">
        <v>19</v>
      </c>
      <c r="E291" s="4" t="s">
        <v>25</v>
      </c>
      <c r="F291" s="4" t="s">
        <v>518</v>
      </c>
      <c r="G291" s="4">
        <v>3.0</v>
      </c>
      <c r="H291" s="6">
        <v>15350.45</v>
      </c>
      <c r="I291" s="6">
        <v>46051.35</v>
      </c>
      <c r="J291" s="6">
        <v>38991.97</v>
      </c>
      <c r="K291" s="6">
        <v>7059.38</v>
      </c>
      <c r="L291" s="4" t="str">
        <f t="shared" si="1"/>
        <v>Apr-2025</v>
      </c>
    </row>
    <row r="292" ht="15.75" customHeight="1">
      <c r="A292" s="4" t="s">
        <v>519</v>
      </c>
      <c r="B292" s="5">
        <v>45750.0</v>
      </c>
      <c r="C292" s="4" t="s">
        <v>75</v>
      </c>
      <c r="D292" s="4" t="s">
        <v>24</v>
      </c>
      <c r="E292" s="4" t="s">
        <v>29</v>
      </c>
      <c r="F292" s="4" t="s">
        <v>143</v>
      </c>
      <c r="G292" s="4">
        <v>1.0</v>
      </c>
      <c r="H292" s="6">
        <v>9092.14</v>
      </c>
      <c r="I292" s="6">
        <v>9092.14</v>
      </c>
      <c r="J292" s="6">
        <v>6849.57</v>
      </c>
      <c r="K292" s="6">
        <v>2242.57</v>
      </c>
      <c r="L292" s="4" t="str">
        <f t="shared" si="1"/>
        <v>Apr-2025</v>
      </c>
    </row>
    <row r="293" ht="15.75" customHeight="1">
      <c r="A293" s="4" t="s">
        <v>520</v>
      </c>
      <c r="B293" s="5">
        <v>45750.0</v>
      </c>
      <c r="C293" s="4" t="s">
        <v>50</v>
      </c>
      <c r="D293" s="4" t="s">
        <v>42</v>
      </c>
      <c r="E293" s="4" t="s">
        <v>29</v>
      </c>
      <c r="F293" s="4" t="s">
        <v>346</v>
      </c>
      <c r="G293" s="4">
        <v>6.0</v>
      </c>
      <c r="H293" s="6">
        <v>4439.71</v>
      </c>
      <c r="I293" s="6">
        <v>26638.26</v>
      </c>
      <c r="J293" s="6">
        <v>22208.18</v>
      </c>
      <c r="K293" s="6">
        <v>4430.08</v>
      </c>
      <c r="L293" s="4" t="str">
        <f t="shared" si="1"/>
        <v>Apr-2025</v>
      </c>
    </row>
    <row r="294" ht="15.75" customHeight="1">
      <c r="A294" s="4" t="s">
        <v>521</v>
      </c>
      <c r="B294" s="5">
        <v>45750.0</v>
      </c>
      <c r="C294" s="4" t="s">
        <v>50</v>
      </c>
      <c r="D294" s="4" t="s">
        <v>42</v>
      </c>
      <c r="E294" s="4" t="s">
        <v>25</v>
      </c>
      <c r="F294" s="4" t="s">
        <v>522</v>
      </c>
      <c r="G294" s="4">
        <v>3.0</v>
      </c>
      <c r="H294" s="6">
        <v>243.46</v>
      </c>
      <c r="I294" s="6">
        <v>730.38</v>
      </c>
      <c r="J294" s="6">
        <v>630.83</v>
      </c>
      <c r="K294" s="6">
        <v>99.55</v>
      </c>
      <c r="L294" s="4" t="str">
        <f t="shared" si="1"/>
        <v>Apr-2025</v>
      </c>
    </row>
    <row r="295" ht="15.75" customHeight="1">
      <c r="A295" s="4" t="s">
        <v>523</v>
      </c>
      <c r="B295" s="5">
        <v>45751.0</v>
      </c>
      <c r="C295" s="4" t="s">
        <v>69</v>
      </c>
      <c r="D295" s="4" t="s">
        <v>19</v>
      </c>
      <c r="E295" s="4" t="s">
        <v>20</v>
      </c>
      <c r="F295" s="4" t="s">
        <v>95</v>
      </c>
      <c r="G295" s="4">
        <v>3.0</v>
      </c>
      <c r="H295" s="6">
        <v>61707.92</v>
      </c>
      <c r="I295" s="6">
        <v>185123.76</v>
      </c>
      <c r="J295" s="6">
        <v>154353.44</v>
      </c>
      <c r="K295" s="6">
        <v>30770.32</v>
      </c>
      <c r="L295" s="4" t="str">
        <f t="shared" si="1"/>
        <v>Apr-2025</v>
      </c>
    </row>
    <row r="296" ht="15.75" customHeight="1">
      <c r="A296" s="4" t="s">
        <v>524</v>
      </c>
      <c r="B296" s="5">
        <v>45751.0</v>
      </c>
      <c r="C296" s="4" t="s">
        <v>160</v>
      </c>
      <c r="D296" s="4" t="s">
        <v>42</v>
      </c>
      <c r="E296" s="4" t="s">
        <v>25</v>
      </c>
      <c r="F296" s="4" t="s">
        <v>382</v>
      </c>
      <c r="G296" s="4">
        <v>1.0</v>
      </c>
      <c r="H296" s="6">
        <v>3432.41</v>
      </c>
      <c r="I296" s="6">
        <v>3432.41</v>
      </c>
      <c r="J296" s="6">
        <v>2918.79</v>
      </c>
      <c r="K296" s="6">
        <v>513.62</v>
      </c>
      <c r="L296" s="4" t="str">
        <f t="shared" si="1"/>
        <v>Apr-2025</v>
      </c>
    </row>
    <row r="297" ht="15.75" customHeight="1">
      <c r="A297" s="4" t="s">
        <v>525</v>
      </c>
      <c r="B297" s="5">
        <v>45752.0</v>
      </c>
      <c r="C297" s="4" t="s">
        <v>69</v>
      </c>
      <c r="D297" s="4" t="s">
        <v>19</v>
      </c>
      <c r="E297" s="4" t="s">
        <v>20</v>
      </c>
      <c r="F297" s="4" t="s">
        <v>197</v>
      </c>
      <c r="G297" s="4">
        <v>5.0</v>
      </c>
      <c r="H297" s="6">
        <v>62325.29</v>
      </c>
      <c r="I297" s="6">
        <v>311626.45</v>
      </c>
      <c r="J297" s="6">
        <v>270100.97</v>
      </c>
      <c r="K297" s="6">
        <v>41525.48</v>
      </c>
      <c r="L297" s="4" t="str">
        <f t="shared" si="1"/>
        <v>Apr-2025</v>
      </c>
    </row>
    <row r="298" ht="15.75" customHeight="1">
      <c r="A298" s="4" t="s">
        <v>526</v>
      </c>
      <c r="B298" s="5">
        <v>45752.0</v>
      </c>
      <c r="C298" s="4" t="s">
        <v>92</v>
      </c>
      <c r="D298" s="4" t="s">
        <v>14</v>
      </c>
      <c r="E298" s="4" t="s">
        <v>25</v>
      </c>
      <c r="F298" s="4" t="s">
        <v>250</v>
      </c>
      <c r="G298" s="4">
        <v>5.0</v>
      </c>
      <c r="H298" s="6">
        <v>643.34</v>
      </c>
      <c r="I298" s="6">
        <v>3216.7</v>
      </c>
      <c r="J298" s="6">
        <v>2462.33</v>
      </c>
      <c r="K298" s="6">
        <v>754.37</v>
      </c>
      <c r="L298" s="4" t="str">
        <f t="shared" si="1"/>
        <v>Apr-2025</v>
      </c>
    </row>
    <row r="299" ht="15.75" customHeight="1">
      <c r="A299" s="4" t="s">
        <v>527</v>
      </c>
      <c r="B299" s="5">
        <v>45753.0</v>
      </c>
      <c r="C299" s="4" t="s">
        <v>61</v>
      </c>
      <c r="D299" s="4" t="s">
        <v>19</v>
      </c>
      <c r="E299" s="4" t="s">
        <v>15</v>
      </c>
      <c r="F299" s="4" t="s">
        <v>64</v>
      </c>
      <c r="G299" s="4">
        <v>2.0</v>
      </c>
      <c r="H299" s="6">
        <v>54614.12</v>
      </c>
      <c r="I299" s="6">
        <v>109228.24</v>
      </c>
      <c r="J299" s="6">
        <v>94111.02</v>
      </c>
      <c r="K299" s="6">
        <v>15117.22</v>
      </c>
      <c r="L299" s="4" t="str">
        <f t="shared" si="1"/>
        <v>Apr-2025</v>
      </c>
    </row>
    <row r="300" ht="15.75" customHeight="1">
      <c r="A300" s="4" t="s">
        <v>528</v>
      </c>
      <c r="B300" s="5">
        <v>45753.0</v>
      </c>
      <c r="C300" s="4" t="s">
        <v>61</v>
      </c>
      <c r="D300" s="4" t="s">
        <v>19</v>
      </c>
      <c r="E300" s="4" t="s">
        <v>25</v>
      </c>
      <c r="F300" s="4" t="s">
        <v>55</v>
      </c>
      <c r="G300" s="4">
        <v>4.0</v>
      </c>
      <c r="H300" s="6">
        <v>70775.19</v>
      </c>
      <c r="I300" s="6">
        <v>283100.76</v>
      </c>
      <c r="J300" s="6">
        <v>249451.87</v>
      </c>
      <c r="K300" s="6">
        <v>33648.89</v>
      </c>
      <c r="L300" s="4" t="str">
        <f t="shared" si="1"/>
        <v>Apr-2025</v>
      </c>
    </row>
    <row r="301" ht="15.75" customHeight="1">
      <c r="A301" s="4" t="s">
        <v>529</v>
      </c>
      <c r="B301" s="5">
        <v>45753.0</v>
      </c>
      <c r="C301" s="4" t="s">
        <v>47</v>
      </c>
      <c r="D301" s="4" t="s">
        <v>14</v>
      </c>
      <c r="E301" s="4" t="s">
        <v>20</v>
      </c>
      <c r="F301" s="4" t="s">
        <v>189</v>
      </c>
      <c r="G301" s="4">
        <v>6.0</v>
      </c>
      <c r="H301" s="6">
        <v>1181.81</v>
      </c>
      <c r="I301" s="6">
        <v>7090.86</v>
      </c>
      <c r="J301" s="6">
        <v>6023.44</v>
      </c>
      <c r="K301" s="6">
        <v>1067.42</v>
      </c>
      <c r="L301" s="4" t="str">
        <f t="shared" si="1"/>
        <v>Apr-2025</v>
      </c>
    </row>
    <row r="302" ht="15.75" customHeight="1">
      <c r="A302" s="4" t="s">
        <v>530</v>
      </c>
      <c r="B302" s="5">
        <v>45753.0</v>
      </c>
      <c r="C302" s="4" t="s">
        <v>41</v>
      </c>
      <c r="D302" s="4" t="s">
        <v>42</v>
      </c>
      <c r="E302" s="4" t="s">
        <v>29</v>
      </c>
      <c r="F302" s="4" t="s">
        <v>86</v>
      </c>
      <c r="G302" s="4">
        <v>5.0</v>
      </c>
      <c r="H302" s="6">
        <v>3666.79</v>
      </c>
      <c r="I302" s="6">
        <v>18333.95</v>
      </c>
      <c r="J302" s="6">
        <v>15378.54</v>
      </c>
      <c r="K302" s="6">
        <v>2955.41</v>
      </c>
      <c r="L302" s="4" t="str">
        <f t="shared" si="1"/>
        <v>Apr-2025</v>
      </c>
    </row>
    <row r="303" ht="15.75" customHeight="1">
      <c r="A303" s="4" t="s">
        <v>531</v>
      </c>
      <c r="B303" s="5">
        <v>45754.0</v>
      </c>
      <c r="C303" s="4" t="s">
        <v>13</v>
      </c>
      <c r="D303" s="4" t="s">
        <v>14</v>
      </c>
      <c r="E303" s="4" t="s">
        <v>15</v>
      </c>
      <c r="F303" s="4" t="s">
        <v>500</v>
      </c>
      <c r="G303" s="4">
        <v>4.0</v>
      </c>
      <c r="H303" s="6">
        <v>792.97</v>
      </c>
      <c r="I303" s="6">
        <v>3171.88</v>
      </c>
      <c r="J303" s="6">
        <v>2361.06</v>
      </c>
      <c r="K303" s="6">
        <v>810.82</v>
      </c>
      <c r="L303" s="4" t="str">
        <f t="shared" si="1"/>
        <v>Apr-2025</v>
      </c>
    </row>
    <row r="304" ht="15.75" customHeight="1">
      <c r="A304" s="4" t="s">
        <v>532</v>
      </c>
      <c r="B304" s="5">
        <v>45754.0</v>
      </c>
      <c r="C304" s="4" t="s">
        <v>92</v>
      </c>
      <c r="D304" s="4" t="s">
        <v>14</v>
      </c>
      <c r="E304" s="4" t="s">
        <v>15</v>
      </c>
      <c r="F304" s="4" t="s">
        <v>346</v>
      </c>
      <c r="G304" s="4">
        <v>2.0</v>
      </c>
      <c r="H304" s="6">
        <v>1217.71</v>
      </c>
      <c r="I304" s="6">
        <v>2435.42</v>
      </c>
      <c r="J304" s="6">
        <v>1736.05</v>
      </c>
      <c r="K304" s="6">
        <v>699.37</v>
      </c>
      <c r="L304" s="4" t="str">
        <f t="shared" si="1"/>
        <v>Apr-2025</v>
      </c>
    </row>
    <row r="305" ht="15.75" customHeight="1">
      <c r="A305" s="4" t="s">
        <v>533</v>
      </c>
      <c r="B305" s="5">
        <v>45755.0</v>
      </c>
      <c r="C305" s="4" t="s">
        <v>102</v>
      </c>
      <c r="D305" s="4" t="s">
        <v>24</v>
      </c>
      <c r="E305" s="4" t="s">
        <v>25</v>
      </c>
      <c r="F305" s="4" t="s">
        <v>167</v>
      </c>
      <c r="G305" s="4">
        <v>3.0</v>
      </c>
      <c r="H305" s="6">
        <v>7655.07</v>
      </c>
      <c r="I305" s="6">
        <v>22965.21</v>
      </c>
      <c r="J305" s="6">
        <v>17343.98</v>
      </c>
      <c r="K305" s="6">
        <v>5621.23</v>
      </c>
      <c r="L305" s="4" t="str">
        <f t="shared" si="1"/>
        <v>Apr-2025</v>
      </c>
    </row>
    <row r="306" ht="15.75" customHeight="1">
      <c r="A306" s="4" t="s">
        <v>534</v>
      </c>
      <c r="B306" s="5">
        <v>45755.0</v>
      </c>
      <c r="C306" s="4" t="s">
        <v>32</v>
      </c>
      <c r="D306" s="4" t="s">
        <v>19</v>
      </c>
      <c r="E306" s="4" t="s">
        <v>29</v>
      </c>
      <c r="F306" s="4" t="s">
        <v>225</v>
      </c>
      <c r="G306" s="4">
        <v>6.0</v>
      </c>
      <c r="H306" s="6">
        <v>74145.99</v>
      </c>
      <c r="I306" s="6">
        <v>444875.94</v>
      </c>
      <c r="J306" s="6">
        <v>390904.94</v>
      </c>
      <c r="K306" s="6">
        <v>53971.0</v>
      </c>
      <c r="L306" s="4" t="str">
        <f t="shared" si="1"/>
        <v>Apr-2025</v>
      </c>
    </row>
    <row r="307" ht="15.75" customHeight="1">
      <c r="A307" s="4" t="s">
        <v>535</v>
      </c>
      <c r="B307" s="5">
        <v>45755.0</v>
      </c>
      <c r="C307" s="4" t="s">
        <v>61</v>
      </c>
      <c r="D307" s="4" t="s">
        <v>19</v>
      </c>
      <c r="E307" s="4" t="s">
        <v>25</v>
      </c>
      <c r="F307" s="4" t="s">
        <v>356</v>
      </c>
      <c r="G307" s="4">
        <v>7.0</v>
      </c>
      <c r="H307" s="6">
        <v>44473.09</v>
      </c>
      <c r="I307" s="6">
        <v>311311.63</v>
      </c>
      <c r="J307" s="6">
        <v>271174.62</v>
      </c>
      <c r="K307" s="6">
        <v>40137.01</v>
      </c>
      <c r="L307" s="4" t="str">
        <f t="shared" si="1"/>
        <v>Apr-2025</v>
      </c>
    </row>
    <row r="308" ht="15.75" customHeight="1">
      <c r="A308" s="4" t="s">
        <v>536</v>
      </c>
      <c r="B308" s="5">
        <v>45756.0</v>
      </c>
      <c r="C308" s="4" t="s">
        <v>92</v>
      </c>
      <c r="D308" s="4" t="s">
        <v>14</v>
      </c>
      <c r="E308" s="4" t="s">
        <v>29</v>
      </c>
      <c r="F308" s="4" t="s">
        <v>16</v>
      </c>
      <c r="G308" s="4">
        <v>7.0</v>
      </c>
      <c r="H308" s="6">
        <v>961.33</v>
      </c>
      <c r="I308" s="6">
        <v>6729.31</v>
      </c>
      <c r="J308" s="6">
        <v>5399.86</v>
      </c>
      <c r="K308" s="6">
        <v>1329.45</v>
      </c>
      <c r="L308" s="4" t="str">
        <f t="shared" si="1"/>
        <v>Apr-2025</v>
      </c>
    </row>
    <row r="309" ht="15.75" customHeight="1">
      <c r="A309" s="4" t="s">
        <v>537</v>
      </c>
      <c r="B309" s="5">
        <v>45756.0</v>
      </c>
      <c r="C309" s="4" t="s">
        <v>13</v>
      </c>
      <c r="D309" s="4" t="s">
        <v>14</v>
      </c>
      <c r="E309" s="4" t="s">
        <v>25</v>
      </c>
      <c r="F309" s="4" t="s">
        <v>26</v>
      </c>
      <c r="G309" s="4">
        <v>2.0</v>
      </c>
      <c r="H309" s="6">
        <v>412.52</v>
      </c>
      <c r="I309" s="6">
        <v>825.04</v>
      </c>
      <c r="J309" s="6">
        <v>622.48</v>
      </c>
      <c r="K309" s="6">
        <v>202.56</v>
      </c>
      <c r="L309" s="4" t="str">
        <f t="shared" si="1"/>
        <v>Apr-2025</v>
      </c>
    </row>
    <row r="310" ht="15.75" customHeight="1">
      <c r="A310" s="4" t="s">
        <v>538</v>
      </c>
      <c r="B310" s="5">
        <v>45756.0</v>
      </c>
      <c r="C310" s="4" t="s">
        <v>75</v>
      </c>
      <c r="D310" s="4" t="s">
        <v>24</v>
      </c>
      <c r="E310" s="4" t="s">
        <v>25</v>
      </c>
      <c r="F310" s="4" t="s">
        <v>507</v>
      </c>
      <c r="G310" s="4">
        <v>2.0</v>
      </c>
      <c r="H310" s="6">
        <v>4914.54</v>
      </c>
      <c r="I310" s="6">
        <v>9829.08</v>
      </c>
      <c r="J310" s="6">
        <v>8481.27</v>
      </c>
      <c r="K310" s="6">
        <v>1347.81</v>
      </c>
      <c r="L310" s="4" t="str">
        <f t="shared" si="1"/>
        <v>Apr-2025</v>
      </c>
    </row>
    <row r="311" ht="15.75" customHeight="1">
      <c r="A311" s="4" t="s">
        <v>539</v>
      </c>
      <c r="B311" s="5">
        <v>45757.0</v>
      </c>
      <c r="C311" s="4" t="s">
        <v>13</v>
      </c>
      <c r="D311" s="4" t="s">
        <v>14</v>
      </c>
      <c r="E311" s="4" t="s">
        <v>29</v>
      </c>
      <c r="F311" s="4" t="s">
        <v>199</v>
      </c>
      <c r="G311" s="4">
        <v>6.0</v>
      </c>
      <c r="H311" s="6">
        <v>1372.7</v>
      </c>
      <c r="I311" s="6">
        <v>8236.2</v>
      </c>
      <c r="J311" s="6">
        <v>6640.72</v>
      </c>
      <c r="K311" s="6">
        <v>1595.48</v>
      </c>
      <c r="L311" s="4" t="str">
        <f t="shared" si="1"/>
        <v>Apr-2025</v>
      </c>
    </row>
    <row r="312" ht="15.75" customHeight="1">
      <c r="A312" s="4" t="s">
        <v>540</v>
      </c>
      <c r="B312" s="5">
        <v>45758.0</v>
      </c>
      <c r="C312" s="4" t="s">
        <v>155</v>
      </c>
      <c r="D312" s="4" t="s">
        <v>24</v>
      </c>
      <c r="E312" s="4" t="s">
        <v>20</v>
      </c>
      <c r="F312" s="4" t="s">
        <v>541</v>
      </c>
      <c r="G312" s="4">
        <v>7.0</v>
      </c>
      <c r="H312" s="6">
        <v>8460.96</v>
      </c>
      <c r="I312" s="6">
        <v>59226.72</v>
      </c>
      <c r="J312" s="6">
        <v>43721.68</v>
      </c>
      <c r="K312" s="6">
        <v>15505.04</v>
      </c>
      <c r="L312" s="4" t="str">
        <f t="shared" si="1"/>
        <v>Apr-2025</v>
      </c>
    </row>
    <row r="313" ht="15.75" customHeight="1">
      <c r="A313" s="4" t="s">
        <v>542</v>
      </c>
      <c r="B313" s="5">
        <v>45758.0</v>
      </c>
      <c r="C313" s="4" t="s">
        <v>92</v>
      </c>
      <c r="D313" s="4" t="s">
        <v>14</v>
      </c>
      <c r="E313" s="4" t="s">
        <v>25</v>
      </c>
      <c r="F313" s="4" t="s">
        <v>543</v>
      </c>
      <c r="G313" s="4">
        <v>6.0</v>
      </c>
      <c r="H313" s="6">
        <v>1453.25</v>
      </c>
      <c r="I313" s="6">
        <v>8719.5</v>
      </c>
      <c r="J313" s="6">
        <v>6315.06</v>
      </c>
      <c r="K313" s="6">
        <v>2404.44</v>
      </c>
      <c r="L313" s="4" t="str">
        <f t="shared" si="1"/>
        <v>Apr-2025</v>
      </c>
    </row>
    <row r="314" ht="15.75" customHeight="1">
      <c r="A314" s="4" t="s">
        <v>544</v>
      </c>
      <c r="B314" s="5">
        <v>45759.0</v>
      </c>
      <c r="C314" s="4" t="s">
        <v>35</v>
      </c>
      <c r="D314" s="4" t="s">
        <v>14</v>
      </c>
      <c r="E314" s="4" t="s">
        <v>25</v>
      </c>
      <c r="F314" s="4" t="s">
        <v>270</v>
      </c>
      <c r="G314" s="4">
        <v>5.0</v>
      </c>
      <c r="H314" s="6">
        <v>364.97</v>
      </c>
      <c r="I314" s="6">
        <v>1824.85</v>
      </c>
      <c r="J314" s="6">
        <v>1464.58</v>
      </c>
      <c r="K314" s="6">
        <v>360.27</v>
      </c>
      <c r="L314" s="4" t="str">
        <f t="shared" si="1"/>
        <v>Apr-2025</v>
      </c>
    </row>
    <row r="315" ht="15.75" customHeight="1">
      <c r="A315" s="4" t="s">
        <v>545</v>
      </c>
      <c r="B315" s="5">
        <v>45759.0</v>
      </c>
      <c r="C315" s="4" t="s">
        <v>61</v>
      </c>
      <c r="D315" s="4" t="s">
        <v>19</v>
      </c>
      <c r="E315" s="4" t="s">
        <v>20</v>
      </c>
      <c r="F315" s="4" t="s">
        <v>546</v>
      </c>
      <c r="G315" s="4">
        <v>5.0</v>
      </c>
      <c r="H315" s="6">
        <v>6030.5</v>
      </c>
      <c r="I315" s="6">
        <v>30152.5</v>
      </c>
      <c r="J315" s="6">
        <v>27068.57</v>
      </c>
      <c r="K315" s="6">
        <v>3083.93</v>
      </c>
      <c r="L315" s="4" t="str">
        <f t="shared" si="1"/>
        <v>Apr-2025</v>
      </c>
    </row>
    <row r="316" ht="15.75" customHeight="1">
      <c r="A316" s="4" t="s">
        <v>547</v>
      </c>
      <c r="B316" s="5">
        <v>45759.0</v>
      </c>
      <c r="C316" s="4" t="s">
        <v>180</v>
      </c>
      <c r="D316" s="4" t="s">
        <v>19</v>
      </c>
      <c r="E316" s="4" t="s">
        <v>25</v>
      </c>
      <c r="F316" s="4" t="s">
        <v>186</v>
      </c>
      <c r="G316" s="4">
        <v>6.0</v>
      </c>
      <c r="H316" s="6">
        <v>53436.22</v>
      </c>
      <c r="I316" s="6">
        <v>320617.32</v>
      </c>
      <c r="J316" s="6">
        <v>258461.96</v>
      </c>
      <c r="K316" s="6">
        <v>62155.36</v>
      </c>
      <c r="L316" s="4" t="str">
        <f t="shared" si="1"/>
        <v>Apr-2025</v>
      </c>
    </row>
    <row r="317" ht="15.75" customHeight="1">
      <c r="A317" s="4" t="s">
        <v>548</v>
      </c>
      <c r="B317" s="5">
        <v>45759.0</v>
      </c>
      <c r="C317" s="4" t="s">
        <v>61</v>
      </c>
      <c r="D317" s="4" t="s">
        <v>19</v>
      </c>
      <c r="E317" s="4" t="s">
        <v>29</v>
      </c>
      <c r="F317" s="4" t="s">
        <v>250</v>
      </c>
      <c r="G317" s="4">
        <v>1.0</v>
      </c>
      <c r="H317" s="6">
        <v>7025.23</v>
      </c>
      <c r="I317" s="6">
        <v>7025.23</v>
      </c>
      <c r="J317" s="6">
        <v>6419.14</v>
      </c>
      <c r="K317" s="6">
        <v>606.09</v>
      </c>
      <c r="L317" s="4" t="str">
        <f t="shared" si="1"/>
        <v>Apr-2025</v>
      </c>
    </row>
    <row r="318" ht="15.75" customHeight="1">
      <c r="A318" s="4" t="s">
        <v>549</v>
      </c>
      <c r="B318" s="5">
        <v>45759.0</v>
      </c>
      <c r="C318" s="4" t="s">
        <v>35</v>
      </c>
      <c r="D318" s="4" t="s">
        <v>14</v>
      </c>
      <c r="E318" s="4" t="s">
        <v>20</v>
      </c>
      <c r="F318" s="4" t="s">
        <v>114</v>
      </c>
      <c r="G318" s="4">
        <v>1.0</v>
      </c>
      <c r="H318" s="6">
        <v>475.36</v>
      </c>
      <c r="I318" s="6">
        <v>475.36</v>
      </c>
      <c r="J318" s="6">
        <v>342.61</v>
      </c>
      <c r="K318" s="6">
        <v>132.75</v>
      </c>
      <c r="L318" s="4" t="str">
        <f t="shared" si="1"/>
        <v>Apr-2025</v>
      </c>
    </row>
    <row r="319" ht="15.75" customHeight="1">
      <c r="A319" s="4" t="s">
        <v>550</v>
      </c>
      <c r="B319" s="5">
        <v>45759.0</v>
      </c>
      <c r="C319" s="4" t="s">
        <v>28</v>
      </c>
      <c r="D319" s="4" t="s">
        <v>14</v>
      </c>
      <c r="E319" s="4" t="s">
        <v>15</v>
      </c>
      <c r="F319" s="4" t="s">
        <v>158</v>
      </c>
      <c r="G319" s="4">
        <v>3.0</v>
      </c>
      <c r="H319" s="6">
        <v>506.17</v>
      </c>
      <c r="I319" s="6">
        <v>1518.51</v>
      </c>
      <c r="J319" s="6">
        <v>1086.79</v>
      </c>
      <c r="K319" s="6">
        <v>431.72</v>
      </c>
      <c r="L319" s="4" t="str">
        <f t="shared" si="1"/>
        <v>Apr-2025</v>
      </c>
    </row>
    <row r="320" ht="15.75" customHeight="1">
      <c r="A320" s="4" t="s">
        <v>551</v>
      </c>
      <c r="B320" s="5">
        <v>45760.0</v>
      </c>
      <c r="C320" s="4" t="s">
        <v>38</v>
      </c>
      <c r="D320" s="4" t="s">
        <v>19</v>
      </c>
      <c r="E320" s="4" t="s">
        <v>29</v>
      </c>
      <c r="F320" s="4" t="s">
        <v>552</v>
      </c>
      <c r="G320" s="4">
        <v>2.0</v>
      </c>
      <c r="H320" s="6">
        <v>42692.88</v>
      </c>
      <c r="I320" s="6">
        <v>85385.76</v>
      </c>
      <c r="J320" s="6">
        <v>75969.53</v>
      </c>
      <c r="K320" s="6">
        <v>9416.23</v>
      </c>
      <c r="L320" s="4" t="str">
        <f t="shared" si="1"/>
        <v>Apr-2025</v>
      </c>
    </row>
    <row r="321" ht="15.75" customHeight="1">
      <c r="A321" s="4" t="s">
        <v>553</v>
      </c>
      <c r="B321" s="5">
        <v>45760.0</v>
      </c>
      <c r="C321" s="4" t="s">
        <v>28</v>
      </c>
      <c r="D321" s="4" t="s">
        <v>14</v>
      </c>
      <c r="E321" s="4" t="s">
        <v>29</v>
      </c>
      <c r="F321" s="4" t="s">
        <v>39</v>
      </c>
      <c r="G321" s="4">
        <v>4.0</v>
      </c>
      <c r="H321" s="6">
        <v>978.65</v>
      </c>
      <c r="I321" s="6">
        <v>3914.6</v>
      </c>
      <c r="J321" s="6">
        <v>3305.17</v>
      </c>
      <c r="K321" s="6">
        <v>609.43</v>
      </c>
      <c r="L321" s="4" t="str">
        <f t="shared" si="1"/>
        <v>Apr-2025</v>
      </c>
    </row>
    <row r="322" ht="15.75" customHeight="1">
      <c r="A322" s="4" t="s">
        <v>554</v>
      </c>
      <c r="B322" s="5">
        <v>45762.0</v>
      </c>
      <c r="C322" s="4" t="s">
        <v>180</v>
      </c>
      <c r="D322" s="4" t="s">
        <v>19</v>
      </c>
      <c r="E322" s="4" t="s">
        <v>25</v>
      </c>
      <c r="F322" s="4" t="s">
        <v>354</v>
      </c>
      <c r="G322" s="4">
        <v>2.0</v>
      </c>
      <c r="H322" s="6">
        <v>61921.84</v>
      </c>
      <c r="I322" s="6">
        <v>123843.68</v>
      </c>
      <c r="J322" s="6">
        <v>101199.67</v>
      </c>
      <c r="K322" s="6">
        <v>22644.01</v>
      </c>
      <c r="L322" s="4" t="str">
        <f t="shared" si="1"/>
        <v>Apr-2025</v>
      </c>
    </row>
    <row r="323" ht="15.75" customHeight="1">
      <c r="A323" s="4" t="s">
        <v>555</v>
      </c>
      <c r="B323" s="5">
        <v>45762.0</v>
      </c>
      <c r="C323" s="4" t="s">
        <v>18</v>
      </c>
      <c r="D323" s="4" t="s">
        <v>19</v>
      </c>
      <c r="E323" s="4" t="s">
        <v>20</v>
      </c>
      <c r="F323" s="4" t="s">
        <v>245</v>
      </c>
      <c r="G323" s="4">
        <v>4.0</v>
      </c>
      <c r="H323" s="6">
        <v>31813.26</v>
      </c>
      <c r="I323" s="6">
        <v>127253.04</v>
      </c>
      <c r="J323" s="6">
        <v>113237.0</v>
      </c>
      <c r="K323" s="6">
        <v>14016.04</v>
      </c>
      <c r="L323" s="4" t="str">
        <f t="shared" si="1"/>
        <v>Apr-2025</v>
      </c>
    </row>
    <row r="324" ht="15.75" customHeight="1">
      <c r="A324" s="4" t="s">
        <v>556</v>
      </c>
      <c r="B324" s="5">
        <v>45763.0</v>
      </c>
      <c r="C324" s="4" t="s">
        <v>50</v>
      </c>
      <c r="D324" s="4" t="s">
        <v>42</v>
      </c>
      <c r="E324" s="4" t="s">
        <v>15</v>
      </c>
      <c r="F324" s="4" t="s">
        <v>557</v>
      </c>
      <c r="G324" s="4">
        <v>4.0</v>
      </c>
      <c r="H324" s="6">
        <v>3991.88</v>
      </c>
      <c r="I324" s="6">
        <v>15967.52</v>
      </c>
      <c r="J324" s="6">
        <v>14354.52</v>
      </c>
      <c r="K324" s="6">
        <v>1613.0</v>
      </c>
      <c r="L324" s="4" t="str">
        <f t="shared" si="1"/>
        <v>Apr-2025</v>
      </c>
    </row>
    <row r="325" ht="15.75" customHeight="1">
      <c r="A325" s="4" t="s">
        <v>558</v>
      </c>
      <c r="B325" s="5">
        <v>45763.0</v>
      </c>
      <c r="C325" s="4" t="s">
        <v>35</v>
      </c>
      <c r="D325" s="4" t="s">
        <v>14</v>
      </c>
      <c r="E325" s="4" t="s">
        <v>15</v>
      </c>
      <c r="F325" s="4" t="s">
        <v>559</v>
      </c>
      <c r="G325" s="4">
        <v>6.0</v>
      </c>
      <c r="H325" s="6">
        <v>410.48</v>
      </c>
      <c r="I325" s="6">
        <v>2462.88</v>
      </c>
      <c r="J325" s="6">
        <v>1734.41</v>
      </c>
      <c r="K325" s="6">
        <v>728.47</v>
      </c>
      <c r="L325" s="4" t="str">
        <f t="shared" si="1"/>
        <v>Apr-2025</v>
      </c>
    </row>
    <row r="326" ht="15.75" customHeight="1">
      <c r="A326" s="4" t="s">
        <v>560</v>
      </c>
      <c r="B326" s="5">
        <v>45764.0</v>
      </c>
      <c r="C326" s="4" t="s">
        <v>140</v>
      </c>
      <c r="D326" s="4" t="s">
        <v>14</v>
      </c>
      <c r="E326" s="4" t="s">
        <v>29</v>
      </c>
      <c r="F326" s="4" t="s">
        <v>561</v>
      </c>
      <c r="G326" s="4">
        <v>1.0</v>
      </c>
      <c r="H326" s="6">
        <v>1347.8</v>
      </c>
      <c r="I326" s="6">
        <v>1347.8</v>
      </c>
      <c r="J326" s="6">
        <v>1130.6</v>
      </c>
      <c r="K326" s="6">
        <v>217.2</v>
      </c>
      <c r="L326" s="4" t="str">
        <f t="shared" si="1"/>
        <v>Apr-2025</v>
      </c>
    </row>
    <row r="327" ht="15.75" customHeight="1">
      <c r="A327" s="4" t="s">
        <v>562</v>
      </c>
      <c r="B327" s="5">
        <v>45764.0</v>
      </c>
      <c r="C327" s="4" t="s">
        <v>41</v>
      </c>
      <c r="D327" s="4" t="s">
        <v>42</v>
      </c>
      <c r="E327" s="4" t="s">
        <v>25</v>
      </c>
      <c r="F327" s="4" t="s">
        <v>330</v>
      </c>
      <c r="G327" s="4">
        <v>6.0</v>
      </c>
      <c r="H327" s="6">
        <v>1709.28</v>
      </c>
      <c r="I327" s="6">
        <v>10255.68</v>
      </c>
      <c r="J327" s="6">
        <v>8262.15</v>
      </c>
      <c r="K327" s="6">
        <v>1993.53</v>
      </c>
      <c r="L327" s="4" t="str">
        <f t="shared" si="1"/>
        <v>Apr-2025</v>
      </c>
    </row>
    <row r="328" ht="15.75" customHeight="1">
      <c r="A328" s="4" t="s">
        <v>563</v>
      </c>
      <c r="B328" s="5">
        <v>45764.0</v>
      </c>
      <c r="C328" s="4" t="s">
        <v>69</v>
      </c>
      <c r="D328" s="4" t="s">
        <v>19</v>
      </c>
      <c r="E328" s="4" t="s">
        <v>29</v>
      </c>
      <c r="F328" s="4" t="s">
        <v>229</v>
      </c>
      <c r="G328" s="4">
        <v>5.0</v>
      </c>
      <c r="H328" s="6">
        <v>992.55</v>
      </c>
      <c r="I328" s="6">
        <v>4962.75</v>
      </c>
      <c r="J328" s="6">
        <v>4048.63</v>
      </c>
      <c r="K328" s="6">
        <v>914.12</v>
      </c>
      <c r="L328" s="4" t="str">
        <f t="shared" si="1"/>
        <v>Apr-2025</v>
      </c>
    </row>
    <row r="329" ht="15.75" customHeight="1">
      <c r="A329" s="4" t="s">
        <v>564</v>
      </c>
      <c r="B329" s="5">
        <v>45764.0</v>
      </c>
      <c r="C329" s="4" t="s">
        <v>75</v>
      </c>
      <c r="D329" s="4" t="s">
        <v>24</v>
      </c>
      <c r="E329" s="4" t="s">
        <v>25</v>
      </c>
      <c r="F329" s="4" t="s">
        <v>377</v>
      </c>
      <c r="G329" s="4">
        <v>7.0</v>
      </c>
      <c r="H329" s="6">
        <v>4127.66</v>
      </c>
      <c r="I329" s="6">
        <v>28893.62</v>
      </c>
      <c r="J329" s="6">
        <v>22526.58</v>
      </c>
      <c r="K329" s="6">
        <v>6367.04</v>
      </c>
      <c r="L329" s="4" t="str">
        <f t="shared" si="1"/>
        <v>Apr-2025</v>
      </c>
    </row>
    <row r="330" ht="15.75" customHeight="1">
      <c r="A330" s="4" t="s">
        <v>565</v>
      </c>
      <c r="B330" s="5">
        <v>45764.0</v>
      </c>
      <c r="C330" s="4" t="s">
        <v>35</v>
      </c>
      <c r="D330" s="4" t="s">
        <v>14</v>
      </c>
      <c r="E330" s="4" t="s">
        <v>29</v>
      </c>
      <c r="F330" s="4" t="s">
        <v>566</v>
      </c>
      <c r="G330" s="4">
        <v>6.0</v>
      </c>
      <c r="H330" s="6">
        <v>1030.28</v>
      </c>
      <c r="I330" s="6">
        <v>6181.68</v>
      </c>
      <c r="J330" s="6">
        <v>4544.3</v>
      </c>
      <c r="K330" s="6">
        <v>1637.38</v>
      </c>
      <c r="L330" s="4" t="str">
        <f t="shared" si="1"/>
        <v>Apr-2025</v>
      </c>
    </row>
    <row r="331" ht="15.75" customHeight="1">
      <c r="A331" s="4" t="s">
        <v>567</v>
      </c>
      <c r="B331" s="5">
        <v>45764.0</v>
      </c>
      <c r="C331" s="4" t="s">
        <v>35</v>
      </c>
      <c r="D331" s="4" t="s">
        <v>14</v>
      </c>
      <c r="E331" s="4" t="s">
        <v>29</v>
      </c>
      <c r="F331" s="4" t="s">
        <v>219</v>
      </c>
      <c r="G331" s="4">
        <v>6.0</v>
      </c>
      <c r="H331" s="6">
        <v>365.62</v>
      </c>
      <c r="I331" s="6">
        <v>2193.72</v>
      </c>
      <c r="J331" s="6">
        <v>1862.68</v>
      </c>
      <c r="K331" s="6">
        <v>331.04</v>
      </c>
      <c r="L331" s="4" t="str">
        <f t="shared" si="1"/>
        <v>Apr-2025</v>
      </c>
    </row>
    <row r="332" ht="15.75" customHeight="1">
      <c r="A332" s="4" t="s">
        <v>568</v>
      </c>
      <c r="B332" s="5">
        <v>45764.0</v>
      </c>
      <c r="C332" s="4" t="s">
        <v>75</v>
      </c>
      <c r="D332" s="4" t="s">
        <v>24</v>
      </c>
      <c r="E332" s="4" t="s">
        <v>20</v>
      </c>
      <c r="F332" s="4" t="s">
        <v>189</v>
      </c>
      <c r="G332" s="4">
        <v>1.0</v>
      </c>
      <c r="H332" s="6">
        <v>14110.28</v>
      </c>
      <c r="I332" s="6">
        <v>14110.28</v>
      </c>
      <c r="J332" s="6">
        <v>11216.88</v>
      </c>
      <c r="K332" s="6">
        <v>2893.4</v>
      </c>
      <c r="L332" s="4" t="str">
        <f t="shared" si="1"/>
        <v>Apr-2025</v>
      </c>
    </row>
    <row r="333" ht="15.75" customHeight="1">
      <c r="A333" s="4" t="s">
        <v>569</v>
      </c>
      <c r="B333" s="5">
        <v>45765.0</v>
      </c>
      <c r="C333" s="4" t="s">
        <v>35</v>
      </c>
      <c r="D333" s="4" t="s">
        <v>14</v>
      </c>
      <c r="E333" s="4" t="s">
        <v>25</v>
      </c>
      <c r="F333" s="4" t="s">
        <v>377</v>
      </c>
      <c r="G333" s="4">
        <v>7.0</v>
      </c>
      <c r="H333" s="6">
        <v>775.69</v>
      </c>
      <c r="I333" s="6">
        <v>5429.83</v>
      </c>
      <c r="J333" s="6">
        <v>4110.0</v>
      </c>
      <c r="K333" s="6">
        <v>1319.83</v>
      </c>
      <c r="L333" s="4" t="str">
        <f t="shared" si="1"/>
        <v>Apr-2025</v>
      </c>
    </row>
    <row r="334" ht="15.75" customHeight="1">
      <c r="A334" s="4" t="s">
        <v>570</v>
      </c>
      <c r="B334" s="5">
        <v>45765.0</v>
      </c>
      <c r="C334" s="4" t="s">
        <v>13</v>
      </c>
      <c r="D334" s="4" t="s">
        <v>14</v>
      </c>
      <c r="E334" s="4" t="s">
        <v>29</v>
      </c>
      <c r="F334" s="4" t="s">
        <v>362</v>
      </c>
      <c r="G334" s="4">
        <v>7.0</v>
      </c>
      <c r="H334" s="6">
        <v>826.27</v>
      </c>
      <c r="I334" s="6">
        <v>5783.89</v>
      </c>
      <c r="J334" s="6">
        <v>4689.91</v>
      </c>
      <c r="K334" s="6">
        <v>1093.98</v>
      </c>
      <c r="L334" s="4" t="str">
        <f t="shared" si="1"/>
        <v>Apr-2025</v>
      </c>
    </row>
    <row r="335" ht="15.75" customHeight="1">
      <c r="A335" s="4" t="s">
        <v>571</v>
      </c>
      <c r="B335" s="5">
        <v>45765.0</v>
      </c>
      <c r="C335" s="4" t="s">
        <v>47</v>
      </c>
      <c r="D335" s="4" t="s">
        <v>14</v>
      </c>
      <c r="E335" s="4" t="s">
        <v>25</v>
      </c>
      <c r="F335" s="4" t="s">
        <v>114</v>
      </c>
      <c r="G335" s="4">
        <v>4.0</v>
      </c>
      <c r="H335" s="6">
        <v>194.51</v>
      </c>
      <c r="I335" s="6">
        <v>778.04</v>
      </c>
      <c r="J335" s="6">
        <v>531.65</v>
      </c>
      <c r="K335" s="6">
        <v>246.39</v>
      </c>
      <c r="L335" s="4" t="str">
        <f t="shared" si="1"/>
        <v>Apr-2025</v>
      </c>
    </row>
    <row r="336" ht="15.75" customHeight="1">
      <c r="A336" s="4" t="s">
        <v>572</v>
      </c>
      <c r="B336" s="5">
        <v>45765.0</v>
      </c>
      <c r="C336" s="4" t="s">
        <v>140</v>
      </c>
      <c r="D336" s="4" t="s">
        <v>14</v>
      </c>
      <c r="E336" s="4" t="s">
        <v>25</v>
      </c>
      <c r="F336" s="4" t="s">
        <v>573</v>
      </c>
      <c r="G336" s="4">
        <v>6.0</v>
      </c>
      <c r="H336" s="6">
        <v>1404.35</v>
      </c>
      <c r="I336" s="6">
        <v>8426.1</v>
      </c>
      <c r="J336" s="6">
        <v>5982.01</v>
      </c>
      <c r="K336" s="6">
        <v>2444.09</v>
      </c>
      <c r="L336" s="4" t="str">
        <f t="shared" si="1"/>
        <v>Apr-2025</v>
      </c>
    </row>
    <row r="337" ht="15.75" customHeight="1">
      <c r="A337" s="4" t="s">
        <v>574</v>
      </c>
      <c r="B337" s="5">
        <v>45765.0</v>
      </c>
      <c r="C337" s="4" t="s">
        <v>35</v>
      </c>
      <c r="D337" s="4" t="s">
        <v>14</v>
      </c>
      <c r="E337" s="4" t="s">
        <v>29</v>
      </c>
      <c r="F337" s="4" t="s">
        <v>575</v>
      </c>
      <c r="G337" s="4">
        <v>5.0</v>
      </c>
      <c r="H337" s="6">
        <v>1297.97</v>
      </c>
      <c r="I337" s="6">
        <v>6489.85</v>
      </c>
      <c r="J337" s="6">
        <v>5081.58</v>
      </c>
      <c r="K337" s="6">
        <v>1408.27</v>
      </c>
      <c r="L337" s="4" t="str">
        <f t="shared" si="1"/>
        <v>Apr-2025</v>
      </c>
    </row>
    <row r="338" ht="15.75" customHeight="1">
      <c r="A338" s="4" t="s">
        <v>576</v>
      </c>
      <c r="B338" s="5">
        <v>45766.0</v>
      </c>
      <c r="C338" s="4" t="s">
        <v>69</v>
      </c>
      <c r="D338" s="4" t="s">
        <v>19</v>
      </c>
      <c r="E338" s="4" t="s">
        <v>29</v>
      </c>
      <c r="F338" s="4" t="s">
        <v>573</v>
      </c>
      <c r="G338" s="4">
        <v>6.0</v>
      </c>
      <c r="H338" s="6">
        <v>40972.44</v>
      </c>
      <c r="I338" s="6">
        <v>245834.64</v>
      </c>
      <c r="J338" s="6">
        <v>221620.57</v>
      </c>
      <c r="K338" s="6">
        <v>24214.07</v>
      </c>
      <c r="L338" s="4" t="str">
        <f t="shared" si="1"/>
        <v>Apr-2025</v>
      </c>
    </row>
    <row r="339" ht="15.75" customHeight="1">
      <c r="A339" s="4" t="s">
        <v>577</v>
      </c>
      <c r="B339" s="5">
        <v>45766.0</v>
      </c>
      <c r="C339" s="4" t="s">
        <v>180</v>
      </c>
      <c r="D339" s="4" t="s">
        <v>19</v>
      </c>
      <c r="E339" s="4" t="s">
        <v>15</v>
      </c>
      <c r="F339" s="4" t="s">
        <v>418</v>
      </c>
      <c r="G339" s="4">
        <v>5.0</v>
      </c>
      <c r="H339" s="6">
        <v>2164.59</v>
      </c>
      <c r="I339" s="6">
        <v>10822.95</v>
      </c>
      <c r="J339" s="6">
        <v>8769.66</v>
      </c>
      <c r="K339" s="6">
        <v>2053.29</v>
      </c>
      <c r="L339" s="4" t="str">
        <f t="shared" si="1"/>
        <v>Apr-2025</v>
      </c>
    </row>
    <row r="340" ht="15.75" customHeight="1">
      <c r="A340" s="4" t="s">
        <v>578</v>
      </c>
      <c r="B340" s="5">
        <v>45767.0</v>
      </c>
      <c r="C340" s="4" t="s">
        <v>155</v>
      </c>
      <c r="D340" s="4" t="s">
        <v>24</v>
      </c>
      <c r="E340" s="4" t="s">
        <v>15</v>
      </c>
      <c r="F340" s="4" t="s">
        <v>579</v>
      </c>
      <c r="G340" s="4">
        <v>5.0</v>
      </c>
      <c r="H340" s="6">
        <v>4722.35</v>
      </c>
      <c r="I340" s="6">
        <v>23611.75</v>
      </c>
      <c r="J340" s="6">
        <v>19809.45</v>
      </c>
      <c r="K340" s="6">
        <v>3802.3</v>
      </c>
      <c r="L340" s="4" t="str">
        <f t="shared" si="1"/>
        <v>Apr-2025</v>
      </c>
    </row>
    <row r="341" ht="15.75" customHeight="1">
      <c r="A341" s="4" t="s">
        <v>580</v>
      </c>
      <c r="B341" s="5">
        <v>45767.0</v>
      </c>
      <c r="C341" s="4" t="s">
        <v>18</v>
      </c>
      <c r="D341" s="4" t="s">
        <v>19</v>
      </c>
      <c r="E341" s="4" t="s">
        <v>20</v>
      </c>
      <c r="F341" s="4" t="s">
        <v>97</v>
      </c>
      <c r="G341" s="4">
        <v>7.0</v>
      </c>
      <c r="H341" s="6">
        <v>69126.47</v>
      </c>
      <c r="I341" s="6">
        <v>483885.29</v>
      </c>
      <c r="J341" s="6">
        <v>394662.86</v>
      </c>
      <c r="K341" s="6">
        <v>89222.43</v>
      </c>
      <c r="L341" s="4" t="str">
        <f t="shared" si="1"/>
        <v>Apr-2025</v>
      </c>
    </row>
    <row r="342" ht="15.75" customHeight="1">
      <c r="A342" s="4" t="s">
        <v>581</v>
      </c>
      <c r="B342" s="5">
        <v>45768.0</v>
      </c>
      <c r="C342" s="4" t="s">
        <v>140</v>
      </c>
      <c r="D342" s="4" t="s">
        <v>14</v>
      </c>
      <c r="E342" s="4" t="s">
        <v>20</v>
      </c>
      <c r="F342" s="4" t="s">
        <v>579</v>
      </c>
      <c r="G342" s="4">
        <v>2.0</v>
      </c>
      <c r="H342" s="6">
        <v>63.53</v>
      </c>
      <c r="I342" s="6">
        <v>127.06</v>
      </c>
      <c r="J342" s="6">
        <v>86.58</v>
      </c>
      <c r="K342" s="6">
        <v>40.48</v>
      </c>
      <c r="L342" s="4" t="str">
        <f t="shared" si="1"/>
        <v>Apr-2025</v>
      </c>
    </row>
    <row r="343" ht="15.75" customHeight="1">
      <c r="A343" s="4" t="s">
        <v>582</v>
      </c>
      <c r="B343" s="5">
        <v>45768.0</v>
      </c>
      <c r="C343" s="4" t="s">
        <v>72</v>
      </c>
      <c r="D343" s="4" t="s">
        <v>24</v>
      </c>
      <c r="E343" s="4" t="s">
        <v>29</v>
      </c>
      <c r="F343" s="4" t="s">
        <v>478</v>
      </c>
      <c r="G343" s="4">
        <v>1.0</v>
      </c>
      <c r="H343" s="6">
        <v>10465.13</v>
      </c>
      <c r="I343" s="6">
        <v>10465.13</v>
      </c>
      <c r="J343" s="6">
        <v>8644.29</v>
      </c>
      <c r="K343" s="6">
        <v>1820.84</v>
      </c>
      <c r="L343" s="4" t="str">
        <f t="shared" si="1"/>
        <v>Apr-2025</v>
      </c>
    </row>
    <row r="344" ht="15.75" customHeight="1">
      <c r="A344" s="4" t="s">
        <v>583</v>
      </c>
      <c r="B344" s="5">
        <v>45768.0</v>
      </c>
      <c r="C344" s="4" t="s">
        <v>13</v>
      </c>
      <c r="D344" s="4" t="s">
        <v>14</v>
      </c>
      <c r="E344" s="4" t="s">
        <v>25</v>
      </c>
      <c r="F344" s="4" t="s">
        <v>53</v>
      </c>
      <c r="G344" s="4">
        <v>1.0</v>
      </c>
      <c r="H344" s="6">
        <v>1279.08</v>
      </c>
      <c r="I344" s="6">
        <v>1279.08</v>
      </c>
      <c r="J344" s="6">
        <v>912.01</v>
      </c>
      <c r="K344" s="6">
        <v>367.07</v>
      </c>
      <c r="L344" s="4" t="str">
        <f t="shared" si="1"/>
        <v>Apr-2025</v>
      </c>
    </row>
    <row r="345" ht="15.75" customHeight="1">
      <c r="A345" s="4" t="s">
        <v>584</v>
      </c>
      <c r="B345" s="5">
        <v>45768.0</v>
      </c>
      <c r="C345" s="4" t="s">
        <v>28</v>
      </c>
      <c r="D345" s="4" t="s">
        <v>14</v>
      </c>
      <c r="E345" s="4" t="s">
        <v>15</v>
      </c>
      <c r="F345" s="4" t="s">
        <v>585</v>
      </c>
      <c r="G345" s="4">
        <v>5.0</v>
      </c>
      <c r="H345" s="6">
        <v>862.13</v>
      </c>
      <c r="I345" s="6">
        <v>4310.65</v>
      </c>
      <c r="J345" s="6">
        <v>3537.94</v>
      </c>
      <c r="K345" s="6">
        <v>772.71</v>
      </c>
      <c r="L345" s="4" t="str">
        <f t="shared" si="1"/>
        <v>Apr-2025</v>
      </c>
    </row>
    <row r="346" ht="15.75" customHeight="1">
      <c r="A346" s="4" t="s">
        <v>586</v>
      </c>
      <c r="B346" s="5">
        <v>45769.0</v>
      </c>
      <c r="C346" s="4" t="s">
        <v>38</v>
      </c>
      <c r="D346" s="4" t="s">
        <v>19</v>
      </c>
      <c r="E346" s="4" t="s">
        <v>29</v>
      </c>
      <c r="F346" s="4" t="s">
        <v>478</v>
      </c>
      <c r="G346" s="4">
        <v>5.0</v>
      </c>
      <c r="H346" s="6">
        <v>26015.17</v>
      </c>
      <c r="I346" s="6">
        <v>130075.85</v>
      </c>
      <c r="J346" s="6">
        <v>111820.06</v>
      </c>
      <c r="K346" s="6">
        <v>18255.79</v>
      </c>
      <c r="L346" s="4" t="str">
        <f t="shared" si="1"/>
        <v>Apr-2025</v>
      </c>
    </row>
    <row r="347" ht="15.75" customHeight="1">
      <c r="A347" s="4" t="s">
        <v>587</v>
      </c>
      <c r="B347" s="5">
        <v>45769.0</v>
      </c>
      <c r="C347" s="4" t="s">
        <v>180</v>
      </c>
      <c r="D347" s="4" t="s">
        <v>19</v>
      </c>
      <c r="E347" s="4" t="s">
        <v>25</v>
      </c>
      <c r="F347" s="4" t="s">
        <v>93</v>
      </c>
      <c r="G347" s="4">
        <v>3.0</v>
      </c>
      <c r="H347" s="6">
        <v>46442.58</v>
      </c>
      <c r="I347" s="6">
        <v>139327.74</v>
      </c>
      <c r="J347" s="6">
        <v>112956.8</v>
      </c>
      <c r="K347" s="6">
        <v>26370.94</v>
      </c>
      <c r="L347" s="4" t="str">
        <f t="shared" si="1"/>
        <v>Apr-2025</v>
      </c>
    </row>
    <row r="348" ht="15.75" customHeight="1">
      <c r="A348" s="4" t="s">
        <v>588</v>
      </c>
      <c r="B348" s="5">
        <v>45769.0</v>
      </c>
      <c r="C348" s="4" t="s">
        <v>155</v>
      </c>
      <c r="D348" s="4" t="s">
        <v>24</v>
      </c>
      <c r="E348" s="4" t="s">
        <v>20</v>
      </c>
      <c r="F348" s="4" t="s">
        <v>323</v>
      </c>
      <c r="G348" s="4">
        <v>7.0</v>
      </c>
      <c r="H348" s="6">
        <v>12094.84</v>
      </c>
      <c r="I348" s="6">
        <v>84663.88</v>
      </c>
      <c r="J348" s="6">
        <v>63383.02</v>
      </c>
      <c r="K348" s="6">
        <v>21280.86</v>
      </c>
      <c r="L348" s="4" t="str">
        <f t="shared" si="1"/>
        <v>Apr-2025</v>
      </c>
    </row>
    <row r="349" ht="15.75" customHeight="1">
      <c r="A349" s="4" t="s">
        <v>589</v>
      </c>
      <c r="B349" s="5">
        <v>45769.0</v>
      </c>
      <c r="C349" s="4" t="s">
        <v>50</v>
      </c>
      <c r="D349" s="4" t="s">
        <v>42</v>
      </c>
      <c r="E349" s="4" t="s">
        <v>25</v>
      </c>
      <c r="F349" s="4" t="s">
        <v>181</v>
      </c>
      <c r="G349" s="4">
        <v>1.0</v>
      </c>
      <c r="H349" s="6">
        <v>565.21</v>
      </c>
      <c r="I349" s="6">
        <v>565.21</v>
      </c>
      <c r="J349" s="6">
        <v>459.26</v>
      </c>
      <c r="K349" s="6">
        <v>105.95</v>
      </c>
      <c r="L349" s="4" t="str">
        <f t="shared" si="1"/>
        <v>Apr-2025</v>
      </c>
    </row>
    <row r="350" ht="15.75" customHeight="1">
      <c r="A350" s="4" t="s">
        <v>590</v>
      </c>
      <c r="B350" s="5">
        <v>45770.0</v>
      </c>
      <c r="C350" s="4" t="s">
        <v>28</v>
      </c>
      <c r="D350" s="4" t="s">
        <v>14</v>
      </c>
      <c r="E350" s="4" t="s">
        <v>20</v>
      </c>
      <c r="F350" s="4" t="s">
        <v>386</v>
      </c>
      <c r="G350" s="4">
        <v>5.0</v>
      </c>
      <c r="H350" s="6">
        <v>494.83</v>
      </c>
      <c r="I350" s="6">
        <v>2474.15</v>
      </c>
      <c r="J350" s="6">
        <v>1962.52</v>
      </c>
      <c r="K350" s="6">
        <v>511.63</v>
      </c>
      <c r="L350" s="4" t="str">
        <f t="shared" si="1"/>
        <v>Apr-2025</v>
      </c>
    </row>
    <row r="351" ht="15.75" customHeight="1">
      <c r="A351" s="4" t="s">
        <v>591</v>
      </c>
      <c r="B351" s="5">
        <v>45770.0</v>
      </c>
      <c r="C351" s="4" t="s">
        <v>72</v>
      </c>
      <c r="D351" s="4" t="s">
        <v>24</v>
      </c>
      <c r="E351" s="4" t="s">
        <v>25</v>
      </c>
      <c r="F351" s="4" t="s">
        <v>210</v>
      </c>
      <c r="G351" s="4">
        <v>1.0</v>
      </c>
      <c r="H351" s="6">
        <v>3834.47</v>
      </c>
      <c r="I351" s="6">
        <v>3834.47</v>
      </c>
      <c r="J351" s="6">
        <v>3237.72</v>
      </c>
      <c r="K351" s="6">
        <v>596.75</v>
      </c>
      <c r="L351" s="4" t="str">
        <f t="shared" si="1"/>
        <v>Apr-2025</v>
      </c>
    </row>
    <row r="352" ht="15.75" customHeight="1">
      <c r="A352" s="4" t="s">
        <v>592</v>
      </c>
      <c r="B352" s="5">
        <v>45770.0</v>
      </c>
      <c r="C352" s="4" t="s">
        <v>18</v>
      </c>
      <c r="D352" s="4" t="s">
        <v>19</v>
      </c>
      <c r="E352" s="4" t="s">
        <v>20</v>
      </c>
      <c r="F352" s="4" t="s">
        <v>543</v>
      </c>
      <c r="G352" s="4">
        <v>1.0</v>
      </c>
      <c r="H352" s="6">
        <v>20595.15</v>
      </c>
      <c r="I352" s="6">
        <v>20595.15</v>
      </c>
      <c r="J352" s="6">
        <v>16533.91</v>
      </c>
      <c r="K352" s="6">
        <v>4061.24</v>
      </c>
      <c r="L352" s="4" t="str">
        <f t="shared" si="1"/>
        <v>Apr-2025</v>
      </c>
    </row>
    <row r="353" ht="15.75" customHeight="1">
      <c r="A353" s="4" t="s">
        <v>593</v>
      </c>
      <c r="B353" s="5">
        <v>45770.0</v>
      </c>
      <c r="C353" s="4" t="s">
        <v>18</v>
      </c>
      <c r="D353" s="4" t="s">
        <v>19</v>
      </c>
      <c r="E353" s="4" t="s">
        <v>20</v>
      </c>
      <c r="F353" s="4" t="s">
        <v>594</v>
      </c>
      <c r="G353" s="4">
        <v>6.0</v>
      </c>
      <c r="H353" s="6">
        <v>1862.19</v>
      </c>
      <c r="I353" s="6">
        <v>11173.14</v>
      </c>
      <c r="J353" s="6">
        <v>9289.97</v>
      </c>
      <c r="K353" s="6">
        <v>1883.17</v>
      </c>
      <c r="L353" s="4" t="str">
        <f t="shared" si="1"/>
        <v>Apr-2025</v>
      </c>
    </row>
    <row r="354" ht="15.75" customHeight="1">
      <c r="A354" s="4" t="s">
        <v>595</v>
      </c>
      <c r="B354" s="5">
        <v>45770.0</v>
      </c>
      <c r="C354" s="4" t="s">
        <v>50</v>
      </c>
      <c r="D354" s="4" t="s">
        <v>42</v>
      </c>
      <c r="E354" s="4" t="s">
        <v>29</v>
      </c>
      <c r="F354" s="4" t="s">
        <v>596</v>
      </c>
      <c r="G354" s="4">
        <v>1.0</v>
      </c>
      <c r="H354" s="6">
        <v>1739.36</v>
      </c>
      <c r="I354" s="6">
        <v>1739.36</v>
      </c>
      <c r="J354" s="6">
        <v>1510.3</v>
      </c>
      <c r="K354" s="6">
        <v>229.06</v>
      </c>
      <c r="L354" s="4" t="str">
        <f t="shared" si="1"/>
        <v>Apr-2025</v>
      </c>
    </row>
    <row r="355" ht="15.75" customHeight="1">
      <c r="A355" s="4" t="s">
        <v>597</v>
      </c>
      <c r="B355" s="5">
        <v>45771.0</v>
      </c>
      <c r="C355" s="4" t="s">
        <v>180</v>
      </c>
      <c r="D355" s="4" t="s">
        <v>19</v>
      </c>
      <c r="E355" s="4" t="s">
        <v>15</v>
      </c>
      <c r="F355" s="4" t="s">
        <v>127</v>
      </c>
      <c r="G355" s="4">
        <v>5.0</v>
      </c>
      <c r="H355" s="6">
        <v>3707.63</v>
      </c>
      <c r="I355" s="6">
        <v>18538.15</v>
      </c>
      <c r="J355" s="6">
        <v>16125.34</v>
      </c>
      <c r="K355" s="6">
        <v>2412.81</v>
      </c>
      <c r="L355" s="4" t="str">
        <f t="shared" si="1"/>
        <v>Apr-2025</v>
      </c>
    </row>
    <row r="356" ht="15.75" customHeight="1">
      <c r="A356" s="4" t="s">
        <v>598</v>
      </c>
      <c r="B356" s="5">
        <v>45771.0</v>
      </c>
      <c r="C356" s="4" t="s">
        <v>109</v>
      </c>
      <c r="D356" s="4" t="s">
        <v>42</v>
      </c>
      <c r="E356" s="4" t="s">
        <v>25</v>
      </c>
      <c r="F356" s="4" t="s">
        <v>103</v>
      </c>
      <c r="G356" s="4">
        <v>6.0</v>
      </c>
      <c r="H356" s="6">
        <v>3171.78</v>
      </c>
      <c r="I356" s="6">
        <v>19030.68</v>
      </c>
      <c r="J356" s="6">
        <v>16651.04</v>
      </c>
      <c r="K356" s="6">
        <v>2379.64</v>
      </c>
      <c r="L356" s="4" t="str">
        <f t="shared" si="1"/>
        <v>Apr-2025</v>
      </c>
    </row>
    <row r="357" ht="15.75" customHeight="1">
      <c r="A357" s="4" t="s">
        <v>599</v>
      </c>
      <c r="B357" s="5">
        <v>45771.0</v>
      </c>
      <c r="C357" s="4" t="s">
        <v>75</v>
      </c>
      <c r="D357" s="4" t="s">
        <v>24</v>
      </c>
      <c r="E357" s="4" t="s">
        <v>29</v>
      </c>
      <c r="F357" s="4" t="s">
        <v>248</v>
      </c>
      <c r="G357" s="4">
        <v>2.0</v>
      </c>
      <c r="H357" s="6">
        <v>16585.54</v>
      </c>
      <c r="I357" s="6">
        <v>33171.08</v>
      </c>
      <c r="J357" s="6">
        <v>26505.24</v>
      </c>
      <c r="K357" s="6">
        <v>6665.84</v>
      </c>
      <c r="L357" s="4" t="str">
        <f t="shared" si="1"/>
        <v>Apr-2025</v>
      </c>
    </row>
    <row r="358" ht="15.75" customHeight="1">
      <c r="A358" s="4" t="s">
        <v>600</v>
      </c>
      <c r="B358" s="5">
        <v>45771.0</v>
      </c>
      <c r="C358" s="4" t="s">
        <v>32</v>
      </c>
      <c r="D358" s="4" t="s">
        <v>19</v>
      </c>
      <c r="E358" s="4" t="s">
        <v>29</v>
      </c>
      <c r="F358" s="4" t="s">
        <v>497</v>
      </c>
      <c r="G358" s="4">
        <v>6.0</v>
      </c>
      <c r="H358" s="6">
        <v>65840.79</v>
      </c>
      <c r="I358" s="6">
        <v>395044.74</v>
      </c>
      <c r="J358" s="6">
        <v>355937.54</v>
      </c>
      <c r="K358" s="6">
        <v>39107.2</v>
      </c>
      <c r="L358" s="4" t="str">
        <f t="shared" si="1"/>
        <v>Apr-2025</v>
      </c>
    </row>
    <row r="359" ht="15.75" customHeight="1">
      <c r="A359" s="4" t="s">
        <v>601</v>
      </c>
      <c r="B359" s="5">
        <v>45772.0</v>
      </c>
      <c r="C359" s="4" t="s">
        <v>75</v>
      </c>
      <c r="D359" s="4" t="s">
        <v>24</v>
      </c>
      <c r="E359" s="4" t="s">
        <v>25</v>
      </c>
      <c r="F359" s="4" t="s">
        <v>205</v>
      </c>
      <c r="G359" s="4">
        <v>1.0</v>
      </c>
      <c r="H359" s="6">
        <v>10070.27</v>
      </c>
      <c r="I359" s="6">
        <v>10070.27</v>
      </c>
      <c r="J359" s="6">
        <v>8446.32</v>
      </c>
      <c r="K359" s="6">
        <v>1623.95</v>
      </c>
      <c r="L359" s="4" t="str">
        <f t="shared" si="1"/>
        <v>Apr-2025</v>
      </c>
    </row>
    <row r="360" ht="15.75" customHeight="1">
      <c r="A360" s="4" t="s">
        <v>602</v>
      </c>
      <c r="B360" s="5">
        <v>45772.0</v>
      </c>
      <c r="C360" s="4" t="s">
        <v>32</v>
      </c>
      <c r="D360" s="4" t="s">
        <v>19</v>
      </c>
      <c r="E360" s="4" t="s">
        <v>25</v>
      </c>
      <c r="F360" s="4" t="s">
        <v>446</v>
      </c>
      <c r="G360" s="4">
        <v>1.0</v>
      </c>
      <c r="H360" s="6">
        <v>16522.56</v>
      </c>
      <c r="I360" s="6">
        <v>16522.56</v>
      </c>
      <c r="J360" s="6">
        <v>14584.13</v>
      </c>
      <c r="K360" s="6">
        <v>1938.43</v>
      </c>
      <c r="L360" s="4" t="str">
        <f t="shared" si="1"/>
        <v>Apr-2025</v>
      </c>
    </row>
    <row r="361" ht="15.75" customHeight="1">
      <c r="A361" s="4" t="s">
        <v>603</v>
      </c>
      <c r="B361" s="5">
        <v>45773.0</v>
      </c>
      <c r="C361" s="4" t="s">
        <v>38</v>
      </c>
      <c r="D361" s="4" t="s">
        <v>19</v>
      </c>
      <c r="E361" s="4" t="s">
        <v>25</v>
      </c>
      <c r="F361" s="4" t="s">
        <v>125</v>
      </c>
      <c r="G361" s="4">
        <v>2.0</v>
      </c>
      <c r="H361" s="6">
        <v>18148.91</v>
      </c>
      <c r="I361" s="6">
        <v>36297.82</v>
      </c>
      <c r="J361" s="6">
        <v>33290.73</v>
      </c>
      <c r="K361" s="6">
        <v>3007.09</v>
      </c>
      <c r="L361" s="4" t="str">
        <f t="shared" si="1"/>
        <v>Apr-2025</v>
      </c>
    </row>
    <row r="362" ht="15.75" customHeight="1">
      <c r="A362" s="4" t="s">
        <v>604</v>
      </c>
      <c r="B362" s="5">
        <v>45773.0</v>
      </c>
      <c r="C362" s="4" t="s">
        <v>32</v>
      </c>
      <c r="D362" s="4" t="s">
        <v>19</v>
      </c>
      <c r="E362" s="4" t="s">
        <v>25</v>
      </c>
      <c r="F362" s="4" t="s">
        <v>53</v>
      </c>
      <c r="G362" s="4">
        <v>6.0</v>
      </c>
      <c r="H362" s="6">
        <v>49701.17</v>
      </c>
      <c r="I362" s="6">
        <v>298207.02</v>
      </c>
      <c r="J362" s="6">
        <v>266791.56</v>
      </c>
      <c r="K362" s="6">
        <v>31415.46</v>
      </c>
      <c r="L362" s="4" t="str">
        <f t="shared" si="1"/>
        <v>Apr-2025</v>
      </c>
    </row>
    <row r="363" ht="15.75" customHeight="1">
      <c r="A363" s="4" t="s">
        <v>605</v>
      </c>
      <c r="B363" s="5">
        <v>45773.0</v>
      </c>
      <c r="C363" s="4" t="s">
        <v>160</v>
      </c>
      <c r="D363" s="4" t="s">
        <v>42</v>
      </c>
      <c r="E363" s="4" t="s">
        <v>15</v>
      </c>
      <c r="F363" s="4" t="s">
        <v>382</v>
      </c>
      <c r="G363" s="4">
        <v>3.0</v>
      </c>
      <c r="H363" s="6">
        <v>4667.08</v>
      </c>
      <c r="I363" s="6">
        <v>14001.24</v>
      </c>
      <c r="J363" s="6">
        <v>11445.02</v>
      </c>
      <c r="K363" s="6">
        <v>2556.22</v>
      </c>
      <c r="L363" s="4" t="str">
        <f t="shared" si="1"/>
        <v>Apr-2025</v>
      </c>
    </row>
    <row r="364" ht="15.75" customHeight="1">
      <c r="A364" s="4" t="s">
        <v>606</v>
      </c>
      <c r="B364" s="5">
        <v>45773.0</v>
      </c>
      <c r="C364" s="4" t="s">
        <v>13</v>
      </c>
      <c r="D364" s="4" t="s">
        <v>14</v>
      </c>
      <c r="E364" s="4" t="s">
        <v>25</v>
      </c>
      <c r="F364" s="4" t="s">
        <v>607</v>
      </c>
      <c r="G364" s="4">
        <v>4.0</v>
      </c>
      <c r="H364" s="6">
        <v>400.8</v>
      </c>
      <c r="I364" s="6">
        <v>1603.2</v>
      </c>
      <c r="J364" s="6">
        <v>1163.09</v>
      </c>
      <c r="K364" s="6">
        <v>440.11</v>
      </c>
      <c r="L364" s="4" t="str">
        <f t="shared" si="1"/>
        <v>Apr-2025</v>
      </c>
    </row>
    <row r="365" ht="15.75" customHeight="1">
      <c r="A365" s="4" t="s">
        <v>608</v>
      </c>
      <c r="B365" s="5">
        <v>45773.0</v>
      </c>
      <c r="C365" s="4" t="s">
        <v>109</v>
      </c>
      <c r="D365" s="4" t="s">
        <v>42</v>
      </c>
      <c r="E365" s="4" t="s">
        <v>25</v>
      </c>
      <c r="F365" s="4" t="s">
        <v>318</v>
      </c>
      <c r="G365" s="4">
        <v>1.0</v>
      </c>
      <c r="H365" s="6">
        <v>897.08</v>
      </c>
      <c r="I365" s="6">
        <v>897.08</v>
      </c>
      <c r="J365" s="6">
        <v>675.05</v>
      </c>
      <c r="K365" s="6">
        <v>222.03</v>
      </c>
      <c r="L365" s="4" t="str">
        <f t="shared" si="1"/>
        <v>Apr-2025</v>
      </c>
    </row>
    <row r="366" ht="15.75" customHeight="1">
      <c r="A366" s="4" t="s">
        <v>609</v>
      </c>
      <c r="B366" s="5">
        <v>45773.0</v>
      </c>
      <c r="C366" s="4" t="s">
        <v>32</v>
      </c>
      <c r="D366" s="4" t="s">
        <v>19</v>
      </c>
      <c r="E366" s="4" t="s">
        <v>25</v>
      </c>
      <c r="F366" s="4" t="s">
        <v>543</v>
      </c>
      <c r="G366" s="4">
        <v>4.0</v>
      </c>
      <c r="H366" s="6">
        <v>39914.41</v>
      </c>
      <c r="I366" s="6">
        <v>159657.64</v>
      </c>
      <c r="J366" s="6">
        <v>132818.02</v>
      </c>
      <c r="K366" s="6">
        <v>26839.62</v>
      </c>
      <c r="L366" s="4" t="str">
        <f t="shared" si="1"/>
        <v>Apr-2025</v>
      </c>
    </row>
    <row r="367" ht="15.75" customHeight="1">
      <c r="A367" s="4" t="s">
        <v>610</v>
      </c>
      <c r="B367" s="5">
        <v>45774.0</v>
      </c>
      <c r="C367" s="4" t="s">
        <v>61</v>
      </c>
      <c r="D367" s="4" t="s">
        <v>19</v>
      </c>
      <c r="E367" s="4" t="s">
        <v>15</v>
      </c>
      <c r="F367" s="4" t="s">
        <v>611</v>
      </c>
      <c r="G367" s="4">
        <v>3.0</v>
      </c>
      <c r="H367" s="6">
        <v>42105.81</v>
      </c>
      <c r="I367" s="6">
        <v>126317.43</v>
      </c>
      <c r="J367" s="6">
        <v>106423.56</v>
      </c>
      <c r="K367" s="6">
        <v>19893.87</v>
      </c>
      <c r="L367" s="4" t="str">
        <f t="shared" si="1"/>
        <v>Apr-2025</v>
      </c>
    </row>
    <row r="368" ht="15.75" customHeight="1">
      <c r="A368" s="4" t="s">
        <v>612</v>
      </c>
      <c r="B368" s="5">
        <v>45774.0</v>
      </c>
      <c r="C368" s="4" t="s">
        <v>61</v>
      </c>
      <c r="D368" s="4" t="s">
        <v>19</v>
      </c>
      <c r="E368" s="4" t="s">
        <v>25</v>
      </c>
      <c r="F368" s="4" t="s">
        <v>450</v>
      </c>
      <c r="G368" s="4">
        <v>4.0</v>
      </c>
      <c r="H368" s="6">
        <v>70422.22</v>
      </c>
      <c r="I368" s="6">
        <v>281688.88</v>
      </c>
      <c r="J368" s="6">
        <v>229704.74</v>
      </c>
      <c r="K368" s="6">
        <v>51984.14</v>
      </c>
      <c r="L368" s="4" t="str">
        <f t="shared" si="1"/>
        <v>Apr-2025</v>
      </c>
    </row>
    <row r="369" ht="15.75" customHeight="1">
      <c r="A369" s="4" t="s">
        <v>613</v>
      </c>
      <c r="B369" s="5">
        <v>45774.0</v>
      </c>
      <c r="C369" s="4" t="s">
        <v>92</v>
      </c>
      <c r="D369" s="4" t="s">
        <v>14</v>
      </c>
      <c r="E369" s="4" t="s">
        <v>25</v>
      </c>
      <c r="F369" s="4" t="s">
        <v>373</v>
      </c>
      <c r="G369" s="4">
        <v>6.0</v>
      </c>
      <c r="H369" s="6">
        <v>552.43</v>
      </c>
      <c r="I369" s="6">
        <v>3314.58</v>
      </c>
      <c r="J369" s="6">
        <v>2263.45</v>
      </c>
      <c r="K369" s="6">
        <v>1051.13</v>
      </c>
      <c r="L369" s="4" t="str">
        <f t="shared" si="1"/>
        <v>Apr-2025</v>
      </c>
    </row>
    <row r="370" ht="15.75" customHeight="1">
      <c r="A370" s="4" t="s">
        <v>614</v>
      </c>
      <c r="B370" s="5">
        <v>45775.0</v>
      </c>
      <c r="C370" s="4" t="s">
        <v>155</v>
      </c>
      <c r="D370" s="4" t="s">
        <v>24</v>
      </c>
      <c r="E370" s="4" t="s">
        <v>25</v>
      </c>
      <c r="F370" s="4" t="s">
        <v>615</v>
      </c>
      <c r="G370" s="4">
        <v>5.0</v>
      </c>
      <c r="H370" s="6">
        <v>15270.59</v>
      </c>
      <c r="I370" s="6">
        <v>76352.95</v>
      </c>
      <c r="J370" s="6">
        <v>64511.84</v>
      </c>
      <c r="K370" s="6">
        <v>11841.11</v>
      </c>
      <c r="L370" s="4" t="str">
        <f t="shared" si="1"/>
        <v>Apr-2025</v>
      </c>
    </row>
    <row r="371" ht="15.75" customHeight="1">
      <c r="A371" s="4" t="s">
        <v>616</v>
      </c>
      <c r="B371" s="5">
        <v>45775.0</v>
      </c>
      <c r="C371" s="4" t="s">
        <v>72</v>
      </c>
      <c r="D371" s="4" t="s">
        <v>24</v>
      </c>
      <c r="E371" s="4" t="s">
        <v>20</v>
      </c>
      <c r="F371" s="4" t="s">
        <v>617</v>
      </c>
      <c r="G371" s="4">
        <v>4.0</v>
      </c>
      <c r="H371" s="6">
        <v>6767.28</v>
      </c>
      <c r="I371" s="6">
        <v>27069.12</v>
      </c>
      <c r="J371" s="6">
        <v>20342.25</v>
      </c>
      <c r="K371" s="6">
        <v>6726.87</v>
      </c>
      <c r="L371" s="4" t="str">
        <f t="shared" si="1"/>
        <v>Apr-2025</v>
      </c>
    </row>
    <row r="372" ht="15.75" customHeight="1">
      <c r="A372" s="4" t="s">
        <v>618</v>
      </c>
      <c r="B372" s="5">
        <v>45775.0</v>
      </c>
      <c r="C372" s="4" t="s">
        <v>75</v>
      </c>
      <c r="D372" s="4" t="s">
        <v>24</v>
      </c>
      <c r="E372" s="4" t="s">
        <v>15</v>
      </c>
      <c r="F372" s="4" t="s">
        <v>145</v>
      </c>
      <c r="G372" s="4">
        <v>1.0</v>
      </c>
      <c r="H372" s="6">
        <v>9796.56</v>
      </c>
      <c r="I372" s="6">
        <v>9796.56</v>
      </c>
      <c r="J372" s="6">
        <v>8361.36</v>
      </c>
      <c r="K372" s="6">
        <v>1435.2</v>
      </c>
      <c r="L372" s="4" t="str">
        <f t="shared" si="1"/>
        <v>Apr-2025</v>
      </c>
    </row>
    <row r="373" ht="15.75" customHeight="1">
      <c r="A373" s="4" t="s">
        <v>619</v>
      </c>
      <c r="B373" s="5">
        <v>45776.0</v>
      </c>
      <c r="C373" s="4" t="s">
        <v>23</v>
      </c>
      <c r="D373" s="4" t="s">
        <v>24</v>
      </c>
      <c r="E373" s="4" t="s">
        <v>25</v>
      </c>
      <c r="F373" s="4" t="s">
        <v>217</v>
      </c>
      <c r="G373" s="4">
        <v>1.0</v>
      </c>
      <c r="H373" s="6">
        <v>15449.07</v>
      </c>
      <c r="I373" s="6">
        <v>15449.07</v>
      </c>
      <c r="J373" s="6">
        <v>13384.82</v>
      </c>
      <c r="K373" s="6">
        <v>2064.25</v>
      </c>
      <c r="L373" s="4" t="str">
        <f t="shared" si="1"/>
        <v>Apr-2025</v>
      </c>
    </row>
    <row r="374" ht="15.75" customHeight="1">
      <c r="A374" s="4" t="s">
        <v>620</v>
      </c>
      <c r="B374" s="5">
        <v>45777.0</v>
      </c>
      <c r="C374" s="4" t="s">
        <v>109</v>
      </c>
      <c r="D374" s="4" t="s">
        <v>42</v>
      </c>
      <c r="E374" s="4" t="s">
        <v>29</v>
      </c>
      <c r="F374" s="4" t="s">
        <v>607</v>
      </c>
      <c r="G374" s="4">
        <v>7.0</v>
      </c>
      <c r="H374" s="6">
        <v>3622.54</v>
      </c>
      <c r="I374" s="6">
        <v>25357.78</v>
      </c>
      <c r="J374" s="6">
        <v>22187.4</v>
      </c>
      <c r="K374" s="6">
        <v>3170.38</v>
      </c>
      <c r="L374" s="4" t="str">
        <f t="shared" si="1"/>
        <v>Apr-2025</v>
      </c>
    </row>
    <row r="375" ht="15.75" customHeight="1">
      <c r="A375" s="4" t="s">
        <v>621</v>
      </c>
      <c r="B375" s="5">
        <v>45777.0</v>
      </c>
      <c r="C375" s="4" t="s">
        <v>75</v>
      </c>
      <c r="D375" s="4" t="s">
        <v>24</v>
      </c>
      <c r="E375" s="4" t="s">
        <v>29</v>
      </c>
      <c r="F375" s="4" t="s">
        <v>97</v>
      </c>
      <c r="G375" s="4">
        <v>4.0</v>
      </c>
      <c r="H375" s="6">
        <v>15650.94</v>
      </c>
      <c r="I375" s="6">
        <v>62603.76</v>
      </c>
      <c r="J375" s="6">
        <v>49683.29</v>
      </c>
      <c r="K375" s="6">
        <v>12920.47</v>
      </c>
      <c r="L375" s="4" t="str">
        <f t="shared" si="1"/>
        <v>Apr-2025</v>
      </c>
    </row>
    <row r="376" ht="15.75" customHeight="1">
      <c r="A376" s="4" t="s">
        <v>622</v>
      </c>
      <c r="B376" s="5">
        <v>45777.0</v>
      </c>
      <c r="C376" s="4" t="s">
        <v>50</v>
      </c>
      <c r="D376" s="4" t="s">
        <v>42</v>
      </c>
      <c r="E376" s="4" t="s">
        <v>29</v>
      </c>
      <c r="F376" s="4" t="s">
        <v>375</v>
      </c>
      <c r="G376" s="4">
        <v>6.0</v>
      </c>
      <c r="H376" s="6">
        <v>2259.13</v>
      </c>
      <c r="I376" s="6">
        <v>13554.78</v>
      </c>
      <c r="J376" s="6">
        <v>11311.97</v>
      </c>
      <c r="K376" s="6">
        <v>2242.81</v>
      </c>
      <c r="L376" s="4" t="str">
        <f t="shared" si="1"/>
        <v>Apr-2025</v>
      </c>
    </row>
    <row r="377" ht="15.75" customHeight="1">
      <c r="A377" s="4" t="s">
        <v>623</v>
      </c>
      <c r="B377" s="5">
        <v>45777.0</v>
      </c>
      <c r="C377" s="4" t="s">
        <v>38</v>
      </c>
      <c r="D377" s="4" t="s">
        <v>19</v>
      </c>
      <c r="E377" s="4" t="s">
        <v>29</v>
      </c>
      <c r="F377" s="4" t="s">
        <v>95</v>
      </c>
      <c r="G377" s="4">
        <v>7.0</v>
      </c>
      <c r="H377" s="6">
        <v>21976.98</v>
      </c>
      <c r="I377" s="6">
        <v>153838.86</v>
      </c>
      <c r="J377" s="6">
        <v>130717.34</v>
      </c>
      <c r="K377" s="6">
        <v>23121.52</v>
      </c>
      <c r="L377" s="4" t="str">
        <f t="shared" si="1"/>
        <v>Apr-2025</v>
      </c>
    </row>
    <row r="378" ht="15.75" customHeight="1">
      <c r="A378" s="4" t="s">
        <v>624</v>
      </c>
      <c r="B378" s="5">
        <v>45778.0</v>
      </c>
      <c r="C378" s="4" t="s">
        <v>140</v>
      </c>
      <c r="D378" s="4" t="s">
        <v>14</v>
      </c>
      <c r="E378" s="4" t="s">
        <v>15</v>
      </c>
      <c r="F378" s="4" t="s">
        <v>62</v>
      </c>
      <c r="G378" s="4">
        <v>7.0</v>
      </c>
      <c r="H378" s="6">
        <v>1071.31</v>
      </c>
      <c r="I378" s="6">
        <v>7499.17</v>
      </c>
      <c r="J378" s="6">
        <v>6320.98</v>
      </c>
      <c r="K378" s="6">
        <v>1178.19</v>
      </c>
      <c r="L378" s="4" t="str">
        <f t="shared" si="1"/>
        <v>May-2025</v>
      </c>
    </row>
    <row r="379" ht="15.75" customHeight="1">
      <c r="A379" s="4" t="s">
        <v>625</v>
      </c>
      <c r="B379" s="5">
        <v>45778.0</v>
      </c>
      <c r="C379" s="4" t="s">
        <v>23</v>
      </c>
      <c r="D379" s="4" t="s">
        <v>24</v>
      </c>
      <c r="E379" s="4" t="s">
        <v>20</v>
      </c>
      <c r="F379" s="4" t="s">
        <v>626</v>
      </c>
      <c r="G379" s="4">
        <v>5.0</v>
      </c>
      <c r="H379" s="6">
        <v>4731.67</v>
      </c>
      <c r="I379" s="6">
        <v>23658.35</v>
      </c>
      <c r="J379" s="6">
        <v>17709.56</v>
      </c>
      <c r="K379" s="6">
        <v>5948.79</v>
      </c>
      <c r="L379" s="4" t="str">
        <f t="shared" si="1"/>
        <v>May-2025</v>
      </c>
    </row>
    <row r="380" ht="15.75" customHeight="1">
      <c r="A380" s="4" t="s">
        <v>627</v>
      </c>
      <c r="B380" s="5">
        <v>45779.0</v>
      </c>
      <c r="C380" s="4" t="s">
        <v>72</v>
      </c>
      <c r="D380" s="4" t="s">
        <v>24</v>
      </c>
      <c r="E380" s="4" t="s">
        <v>20</v>
      </c>
      <c r="F380" s="4" t="s">
        <v>628</v>
      </c>
      <c r="G380" s="4">
        <v>2.0</v>
      </c>
      <c r="H380" s="6">
        <v>7184.1</v>
      </c>
      <c r="I380" s="6">
        <v>14368.2</v>
      </c>
      <c r="J380" s="6">
        <v>11623.01</v>
      </c>
      <c r="K380" s="6">
        <v>2745.19</v>
      </c>
      <c r="L380" s="4" t="str">
        <f t="shared" si="1"/>
        <v>May-2025</v>
      </c>
    </row>
    <row r="381" ht="15.75" customHeight="1">
      <c r="A381" s="4" t="s">
        <v>629</v>
      </c>
      <c r="B381" s="5">
        <v>45779.0</v>
      </c>
      <c r="C381" s="4" t="s">
        <v>47</v>
      </c>
      <c r="D381" s="4" t="s">
        <v>14</v>
      </c>
      <c r="E381" s="4" t="s">
        <v>29</v>
      </c>
      <c r="F381" s="4" t="s">
        <v>279</v>
      </c>
      <c r="G381" s="4">
        <v>4.0</v>
      </c>
      <c r="H381" s="6">
        <v>134.44</v>
      </c>
      <c r="I381" s="6">
        <v>537.76</v>
      </c>
      <c r="J381" s="6">
        <v>442.75</v>
      </c>
      <c r="K381" s="6">
        <v>95.01</v>
      </c>
      <c r="L381" s="4" t="str">
        <f t="shared" si="1"/>
        <v>May-2025</v>
      </c>
    </row>
    <row r="382" ht="15.75" customHeight="1">
      <c r="A382" s="4" t="s">
        <v>630</v>
      </c>
      <c r="B382" s="5">
        <v>45779.0</v>
      </c>
      <c r="C382" s="4" t="s">
        <v>38</v>
      </c>
      <c r="D382" s="4" t="s">
        <v>19</v>
      </c>
      <c r="E382" s="4" t="s">
        <v>25</v>
      </c>
      <c r="F382" s="4" t="s">
        <v>233</v>
      </c>
      <c r="G382" s="4">
        <v>5.0</v>
      </c>
      <c r="H382" s="6">
        <v>26919.63</v>
      </c>
      <c r="I382" s="6">
        <v>134598.15</v>
      </c>
      <c r="J382" s="6">
        <v>117195.0</v>
      </c>
      <c r="K382" s="6">
        <v>17403.15</v>
      </c>
      <c r="L382" s="4" t="str">
        <f t="shared" si="1"/>
        <v>May-2025</v>
      </c>
    </row>
    <row r="383" ht="15.75" customHeight="1">
      <c r="A383" s="4" t="s">
        <v>631</v>
      </c>
      <c r="B383" s="5">
        <v>45779.0</v>
      </c>
      <c r="C383" s="4" t="s">
        <v>47</v>
      </c>
      <c r="D383" s="4" t="s">
        <v>14</v>
      </c>
      <c r="E383" s="4" t="s">
        <v>29</v>
      </c>
      <c r="F383" s="4" t="s">
        <v>107</v>
      </c>
      <c r="G383" s="4">
        <v>2.0</v>
      </c>
      <c r="H383" s="6">
        <v>109.72</v>
      </c>
      <c r="I383" s="6">
        <v>219.44</v>
      </c>
      <c r="J383" s="6">
        <v>181.89</v>
      </c>
      <c r="K383" s="6">
        <v>37.55</v>
      </c>
      <c r="L383" s="4" t="str">
        <f t="shared" si="1"/>
        <v>May-2025</v>
      </c>
    </row>
    <row r="384" ht="15.75" customHeight="1">
      <c r="A384" s="4" t="s">
        <v>632</v>
      </c>
      <c r="B384" s="5">
        <v>45779.0</v>
      </c>
      <c r="C384" s="4" t="s">
        <v>23</v>
      </c>
      <c r="D384" s="4" t="s">
        <v>24</v>
      </c>
      <c r="E384" s="4" t="s">
        <v>15</v>
      </c>
      <c r="F384" s="4" t="s">
        <v>633</v>
      </c>
      <c r="G384" s="4">
        <v>5.0</v>
      </c>
      <c r="H384" s="6">
        <v>11441.72</v>
      </c>
      <c r="I384" s="6">
        <v>57208.6</v>
      </c>
      <c r="J384" s="6">
        <v>43379.18</v>
      </c>
      <c r="K384" s="6">
        <v>13829.42</v>
      </c>
      <c r="L384" s="4" t="str">
        <f t="shared" si="1"/>
        <v>May-2025</v>
      </c>
    </row>
    <row r="385" ht="15.75" customHeight="1">
      <c r="A385" s="4" t="s">
        <v>634</v>
      </c>
      <c r="B385" s="5">
        <v>45780.0</v>
      </c>
      <c r="C385" s="4" t="s">
        <v>41</v>
      </c>
      <c r="D385" s="4" t="s">
        <v>42</v>
      </c>
      <c r="E385" s="4" t="s">
        <v>29</v>
      </c>
      <c r="F385" s="4" t="s">
        <v>304</v>
      </c>
      <c r="G385" s="4">
        <v>6.0</v>
      </c>
      <c r="H385" s="6">
        <v>354.13</v>
      </c>
      <c r="I385" s="6">
        <v>2124.78</v>
      </c>
      <c r="J385" s="6">
        <v>1629.9</v>
      </c>
      <c r="K385" s="6">
        <v>494.88</v>
      </c>
      <c r="L385" s="4" t="str">
        <f t="shared" si="1"/>
        <v>May-2025</v>
      </c>
    </row>
    <row r="386" ht="15.75" customHeight="1">
      <c r="A386" s="4" t="s">
        <v>635</v>
      </c>
      <c r="B386" s="5">
        <v>45780.0</v>
      </c>
      <c r="C386" s="4" t="s">
        <v>13</v>
      </c>
      <c r="D386" s="4" t="s">
        <v>14</v>
      </c>
      <c r="E386" s="4" t="s">
        <v>29</v>
      </c>
      <c r="F386" s="4" t="s">
        <v>93</v>
      </c>
      <c r="G386" s="4">
        <v>5.0</v>
      </c>
      <c r="H386" s="6">
        <v>96.87</v>
      </c>
      <c r="I386" s="6">
        <v>484.35</v>
      </c>
      <c r="J386" s="6">
        <v>365.49</v>
      </c>
      <c r="K386" s="6">
        <v>118.86</v>
      </c>
      <c r="L386" s="4" t="str">
        <f t="shared" si="1"/>
        <v>May-2025</v>
      </c>
    </row>
    <row r="387" ht="15.75" customHeight="1">
      <c r="A387" s="4" t="s">
        <v>636</v>
      </c>
      <c r="B387" s="5">
        <v>45781.0</v>
      </c>
      <c r="C387" s="4" t="s">
        <v>109</v>
      </c>
      <c r="D387" s="4" t="s">
        <v>42</v>
      </c>
      <c r="E387" s="4" t="s">
        <v>29</v>
      </c>
      <c r="F387" s="4" t="s">
        <v>295</v>
      </c>
      <c r="G387" s="4">
        <v>4.0</v>
      </c>
      <c r="H387" s="6">
        <v>4649.77</v>
      </c>
      <c r="I387" s="6">
        <v>18599.08</v>
      </c>
      <c r="J387" s="6">
        <v>16456.22</v>
      </c>
      <c r="K387" s="6">
        <v>2142.86</v>
      </c>
      <c r="L387" s="4" t="str">
        <f t="shared" si="1"/>
        <v>May-2025</v>
      </c>
    </row>
    <row r="388" ht="15.75" customHeight="1">
      <c r="A388" s="4" t="s">
        <v>637</v>
      </c>
      <c r="B388" s="5">
        <v>45781.0</v>
      </c>
      <c r="C388" s="4" t="s">
        <v>155</v>
      </c>
      <c r="D388" s="4" t="s">
        <v>24</v>
      </c>
      <c r="E388" s="4" t="s">
        <v>25</v>
      </c>
      <c r="F388" s="4" t="s">
        <v>638</v>
      </c>
      <c r="G388" s="4">
        <v>2.0</v>
      </c>
      <c r="H388" s="6">
        <v>14767.45</v>
      </c>
      <c r="I388" s="6">
        <v>29534.9</v>
      </c>
      <c r="J388" s="6">
        <v>22331.13</v>
      </c>
      <c r="K388" s="6">
        <v>7203.77</v>
      </c>
      <c r="L388" s="4" t="str">
        <f t="shared" si="1"/>
        <v>May-2025</v>
      </c>
    </row>
    <row r="389" ht="15.75" customHeight="1">
      <c r="A389" s="4" t="s">
        <v>639</v>
      </c>
      <c r="B389" s="5">
        <v>45782.0</v>
      </c>
      <c r="C389" s="4" t="s">
        <v>75</v>
      </c>
      <c r="D389" s="4" t="s">
        <v>24</v>
      </c>
      <c r="E389" s="4" t="s">
        <v>15</v>
      </c>
      <c r="F389" s="4" t="s">
        <v>543</v>
      </c>
      <c r="G389" s="4">
        <v>4.0</v>
      </c>
      <c r="H389" s="6">
        <v>9459.86</v>
      </c>
      <c r="I389" s="6">
        <v>37839.44</v>
      </c>
      <c r="J389" s="6">
        <v>31626.27</v>
      </c>
      <c r="K389" s="6">
        <v>6213.17</v>
      </c>
      <c r="L389" s="4" t="str">
        <f t="shared" si="1"/>
        <v>May-2025</v>
      </c>
    </row>
    <row r="390" ht="15.75" customHeight="1">
      <c r="A390" s="4" t="s">
        <v>640</v>
      </c>
      <c r="B390" s="5">
        <v>45783.0</v>
      </c>
      <c r="C390" s="4" t="s">
        <v>155</v>
      </c>
      <c r="D390" s="4" t="s">
        <v>24</v>
      </c>
      <c r="E390" s="4" t="s">
        <v>20</v>
      </c>
      <c r="F390" s="4" t="s">
        <v>641</v>
      </c>
      <c r="G390" s="4">
        <v>5.0</v>
      </c>
      <c r="H390" s="6">
        <v>15722.0</v>
      </c>
      <c r="I390" s="6">
        <v>78610.0</v>
      </c>
      <c r="J390" s="6">
        <v>58028.31</v>
      </c>
      <c r="K390" s="6">
        <v>20581.69</v>
      </c>
      <c r="L390" s="4" t="str">
        <f t="shared" si="1"/>
        <v>May-2025</v>
      </c>
    </row>
    <row r="391" ht="15.75" customHeight="1">
      <c r="A391" s="4" t="s">
        <v>642</v>
      </c>
      <c r="B391" s="5">
        <v>45783.0</v>
      </c>
      <c r="C391" s="4" t="s">
        <v>18</v>
      </c>
      <c r="D391" s="4" t="s">
        <v>19</v>
      </c>
      <c r="E391" s="4" t="s">
        <v>20</v>
      </c>
      <c r="F391" s="4" t="s">
        <v>643</v>
      </c>
      <c r="G391" s="4">
        <v>1.0</v>
      </c>
      <c r="H391" s="6">
        <v>26245.17</v>
      </c>
      <c r="I391" s="6">
        <v>26245.17</v>
      </c>
      <c r="J391" s="6">
        <v>22652.83</v>
      </c>
      <c r="K391" s="6">
        <v>3592.34</v>
      </c>
      <c r="L391" s="4" t="str">
        <f t="shared" si="1"/>
        <v>May-2025</v>
      </c>
    </row>
    <row r="392" ht="15.75" customHeight="1">
      <c r="A392" s="4" t="s">
        <v>644</v>
      </c>
      <c r="B392" s="5">
        <v>45784.0</v>
      </c>
      <c r="C392" s="4" t="s">
        <v>140</v>
      </c>
      <c r="D392" s="4" t="s">
        <v>14</v>
      </c>
      <c r="E392" s="4" t="s">
        <v>15</v>
      </c>
      <c r="F392" s="4" t="s">
        <v>418</v>
      </c>
      <c r="G392" s="4">
        <v>1.0</v>
      </c>
      <c r="H392" s="6">
        <v>959.63</v>
      </c>
      <c r="I392" s="6">
        <v>959.63</v>
      </c>
      <c r="J392" s="6">
        <v>740.92</v>
      </c>
      <c r="K392" s="6">
        <v>218.71</v>
      </c>
      <c r="L392" s="4" t="str">
        <f t="shared" si="1"/>
        <v>May-2025</v>
      </c>
    </row>
    <row r="393" ht="15.75" customHeight="1">
      <c r="A393" s="4" t="s">
        <v>645</v>
      </c>
      <c r="B393" s="5">
        <v>45784.0</v>
      </c>
      <c r="C393" s="4" t="s">
        <v>102</v>
      </c>
      <c r="D393" s="4" t="s">
        <v>24</v>
      </c>
      <c r="E393" s="4" t="s">
        <v>25</v>
      </c>
      <c r="F393" s="4" t="s">
        <v>57</v>
      </c>
      <c r="G393" s="4">
        <v>2.0</v>
      </c>
      <c r="H393" s="6">
        <v>15218.3</v>
      </c>
      <c r="I393" s="6">
        <v>30436.6</v>
      </c>
      <c r="J393" s="6">
        <v>22205.67</v>
      </c>
      <c r="K393" s="6">
        <v>8230.93</v>
      </c>
      <c r="L393" s="4" t="str">
        <f t="shared" si="1"/>
        <v>May-2025</v>
      </c>
    </row>
    <row r="394" ht="15.75" customHeight="1">
      <c r="A394" s="4" t="s">
        <v>646</v>
      </c>
      <c r="B394" s="5">
        <v>45785.0</v>
      </c>
      <c r="C394" s="4" t="s">
        <v>35</v>
      </c>
      <c r="D394" s="4" t="s">
        <v>14</v>
      </c>
      <c r="E394" s="4" t="s">
        <v>25</v>
      </c>
      <c r="F394" s="4" t="s">
        <v>399</v>
      </c>
      <c r="G394" s="4">
        <v>7.0</v>
      </c>
      <c r="H394" s="6">
        <v>427.07</v>
      </c>
      <c r="I394" s="6">
        <v>2989.49</v>
      </c>
      <c r="J394" s="6">
        <v>2230.87</v>
      </c>
      <c r="K394" s="6">
        <v>758.62</v>
      </c>
      <c r="L394" s="4" t="str">
        <f t="shared" si="1"/>
        <v>May-2025</v>
      </c>
    </row>
    <row r="395" ht="15.75" customHeight="1">
      <c r="A395" s="4" t="s">
        <v>647</v>
      </c>
      <c r="B395" s="5">
        <v>45785.0</v>
      </c>
      <c r="C395" s="4" t="s">
        <v>32</v>
      </c>
      <c r="D395" s="4" t="s">
        <v>19</v>
      </c>
      <c r="E395" s="4" t="s">
        <v>25</v>
      </c>
      <c r="F395" s="4" t="s">
        <v>141</v>
      </c>
      <c r="G395" s="4">
        <v>5.0</v>
      </c>
      <c r="H395" s="6">
        <v>10160.56</v>
      </c>
      <c r="I395" s="6">
        <v>50802.8</v>
      </c>
      <c r="J395" s="6">
        <v>45987.0</v>
      </c>
      <c r="K395" s="6">
        <v>4815.8</v>
      </c>
      <c r="L395" s="4" t="str">
        <f t="shared" si="1"/>
        <v>May-2025</v>
      </c>
    </row>
    <row r="396" ht="15.75" customHeight="1">
      <c r="A396" s="4" t="s">
        <v>648</v>
      </c>
      <c r="B396" s="5">
        <v>45785.0</v>
      </c>
      <c r="C396" s="4" t="s">
        <v>66</v>
      </c>
      <c r="D396" s="4" t="s">
        <v>42</v>
      </c>
      <c r="E396" s="4" t="s">
        <v>29</v>
      </c>
      <c r="F396" s="4" t="s">
        <v>461</v>
      </c>
      <c r="G396" s="4">
        <v>6.0</v>
      </c>
      <c r="H396" s="6">
        <v>887.75</v>
      </c>
      <c r="I396" s="6">
        <v>5326.5</v>
      </c>
      <c r="J396" s="6">
        <v>4236.3</v>
      </c>
      <c r="K396" s="6">
        <v>1090.2</v>
      </c>
      <c r="L396" s="4" t="str">
        <f t="shared" si="1"/>
        <v>May-2025</v>
      </c>
    </row>
    <row r="397" ht="15.75" customHeight="1">
      <c r="A397" s="4" t="s">
        <v>649</v>
      </c>
      <c r="B397" s="5">
        <v>45785.0</v>
      </c>
      <c r="C397" s="4" t="s">
        <v>155</v>
      </c>
      <c r="D397" s="4" t="s">
        <v>24</v>
      </c>
      <c r="E397" s="4" t="s">
        <v>15</v>
      </c>
      <c r="F397" s="4" t="s">
        <v>73</v>
      </c>
      <c r="G397" s="4">
        <v>4.0</v>
      </c>
      <c r="H397" s="6">
        <v>9502.48</v>
      </c>
      <c r="I397" s="6">
        <v>38009.92</v>
      </c>
      <c r="J397" s="6">
        <v>31925.52</v>
      </c>
      <c r="K397" s="6">
        <v>6084.4</v>
      </c>
      <c r="L397" s="4" t="str">
        <f t="shared" si="1"/>
        <v>May-2025</v>
      </c>
    </row>
    <row r="398" ht="15.75" customHeight="1">
      <c r="A398" s="4" t="s">
        <v>650</v>
      </c>
      <c r="B398" s="5">
        <v>45785.0</v>
      </c>
      <c r="C398" s="4" t="s">
        <v>50</v>
      </c>
      <c r="D398" s="4" t="s">
        <v>42</v>
      </c>
      <c r="E398" s="4" t="s">
        <v>29</v>
      </c>
      <c r="F398" s="4" t="s">
        <v>165</v>
      </c>
      <c r="G398" s="4">
        <v>1.0</v>
      </c>
      <c r="H398" s="6">
        <v>4260.42</v>
      </c>
      <c r="I398" s="6">
        <v>4260.42</v>
      </c>
      <c r="J398" s="6">
        <v>3784.76</v>
      </c>
      <c r="K398" s="6">
        <v>475.66</v>
      </c>
      <c r="L398" s="4" t="str">
        <f t="shared" si="1"/>
        <v>May-2025</v>
      </c>
    </row>
    <row r="399" ht="15.75" customHeight="1">
      <c r="A399" s="4" t="s">
        <v>651</v>
      </c>
      <c r="B399" s="5">
        <v>45785.0</v>
      </c>
      <c r="C399" s="4" t="s">
        <v>13</v>
      </c>
      <c r="D399" s="4" t="s">
        <v>14</v>
      </c>
      <c r="E399" s="4" t="s">
        <v>25</v>
      </c>
      <c r="F399" s="4" t="s">
        <v>256</v>
      </c>
      <c r="G399" s="4">
        <v>4.0</v>
      </c>
      <c r="H399" s="6">
        <v>1373.49</v>
      </c>
      <c r="I399" s="6">
        <v>5493.96</v>
      </c>
      <c r="J399" s="6">
        <v>4515.28</v>
      </c>
      <c r="K399" s="6">
        <v>978.68</v>
      </c>
      <c r="L399" s="4" t="str">
        <f t="shared" si="1"/>
        <v>May-2025</v>
      </c>
    </row>
    <row r="400" ht="15.75" customHeight="1">
      <c r="A400" s="4" t="s">
        <v>652</v>
      </c>
      <c r="B400" s="5">
        <v>45785.0</v>
      </c>
      <c r="C400" s="4" t="s">
        <v>38</v>
      </c>
      <c r="D400" s="4" t="s">
        <v>19</v>
      </c>
      <c r="E400" s="4" t="s">
        <v>29</v>
      </c>
      <c r="F400" s="4" t="s">
        <v>304</v>
      </c>
      <c r="G400" s="4">
        <v>2.0</v>
      </c>
      <c r="H400" s="6">
        <v>38261.71</v>
      </c>
      <c r="I400" s="6">
        <v>76523.42</v>
      </c>
      <c r="J400" s="6">
        <v>62255.42</v>
      </c>
      <c r="K400" s="6">
        <v>14268.0</v>
      </c>
      <c r="L400" s="4" t="str">
        <f t="shared" si="1"/>
        <v>May-2025</v>
      </c>
    </row>
    <row r="401" ht="15.75" customHeight="1">
      <c r="A401" s="4" t="s">
        <v>653</v>
      </c>
      <c r="B401" s="5">
        <v>45787.0</v>
      </c>
      <c r="C401" s="4" t="s">
        <v>61</v>
      </c>
      <c r="D401" s="4" t="s">
        <v>19</v>
      </c>
      <c r="E401" s="4" t="s">
        <v>20</v>
      </c>
      <c r="F401" s="4" t="s">
        <v>181</v>
      </c>
      <c r="G401" s="4">
        <v>1.0</v>
      </c>
      <c r="H401" s="6">
        <v>49619.85</v>
      </c>
      <c r="I401" s="6">
        <v>49619.85</v>
      </c>
      <c r="J401" s="6">
        <v>41318.59</v>
      </c>
      <c r="K401" s="6">
        <v>8301.26</v>
      </c>
      <c r="L401" s="4" t="str">
        <f t="shared" si="1"/>
        <v>May-2025</v>
      </c>
    </row>
    <row r="402" ht="15.75" customHeight="1">
      <c r="A402" s="4" t="s">
        <v>654</v>
      </c>
      <c r="B402" s="5">
        <v>45787.0</v>
      </c>
      <c r="C402" s="4" t="s">
        <v>35</v>
      </c>
      <c r="D402" s="4" t="s">
        <v>14</v>
      </c>
      <c r="E402" s="4" t="s">
        <v>20</v>
      </c>
      <c r="F402" s="4" t="s">
        <v>422</v>
      </c>
      <c r="G402" s="4">
        <v>2.0</v>
      </c>
      <c r="H402" s="6">
        <v>230.43</v>
      </c>
      <c r="I402" s="6">
        <v>460.86</v>
      </c>
      <c r="J402" s="6">
        <v>324.91</v>
      </c>
      <c r="K402" s="6">
        <v>135.95</v>
      </c>
      <c r="L402" s="4" t="str">
        <f t="shared" si="1"/>
        <v>May-2025</v>
      </c>
    </row>
    <row r="403" ht="15.75" customHeight="1">
      <c r="A403" s="4" t="s">
        <v>655</v>
      </c>
      <c r="B403" s="5">
        <v>45787.0</v>
      </c>
      <c r="C403" s="4" t="s">
        <v>50</v>
      </c>
      <c r="D403" s="4" t="s">
        <v>42</v>
      </c>
      <c r="E403" s="4" t="s">
        <v>20</v>
      </c>
      <c r="F403" s="4" t="s">
        <v>656</v>
      </c>
      <c r="G403" s="4">
        <v>3.0</v>
      </c>
      <c r="H403" s="6">
        <v>4705.83</v>
      </c>
      <c r="I403" s="6">
        <v>14117.49</v>
      </c>
      <c r="J403" s="6">
        <v>11819.96</v>
      </c>
      <c r="K403" s="6">
        <v>2297.53</v>
      </c>
      <c r="L403" s="4" t="str">
        <f t="shared" si="1"/>
        <v>May-2025</v>
      </c>
    </row>
    <row r="404" ht="15.75" customHeight="1">
      <c r="A404" s="4" t="s">
        <v>657</v>
      </c>
      <c r="B404" s="5">
        <v>45788.0</v>
      </c>
      <c r="C404" s="4" t="s">
        <v>140</v>
      </c>
      <c r="D404" s="4" t="s">
        <v>14</v>
      </c>
      <c r="E404" s="4" t="s">
        <v>20</v>
      </c>
      <c r="F404" s="4" t="s">
        <v>84</v>
      </c>
      <c r="G404" s="4">
        <v>1.0</v>
      </c>
      <c r="H404" s="6">
        <v>455.53</v>
      </c>
      <c r="I404" s="6">
        <v>455.53</v>
      </c>
      <c r="J404" s="6">
        <v>320.16</v>
      </c>
      <c r="K404" s="6">
        <v>135.37</v>
      </c>
      <c r="L404" s="4" t="str">
        <f t="shared" si="1"/>
        <v>May-2025</v>
      </c>
    </row>
    <row r="405" ht="15.75" customHeight="1">
      <c r="A405" s="4" t="s">
        <v>658</v>
      </c>
      <c r="B405" s="5">
        <v>45788.0</v>
      </c>
      <c r="C405" s="4" t="s">
        <v>180</v>
      </c>
      <c r="D405" s="4" t="s">
        <v>19</v>
      </c>
      <c r="E405" s="4" t="s">
        <v>25</v>
      </c>
      <c r="F405" s="4" t="s">
        <v>546</v>
      </c>
      <c r="G405" s="4">
        <v>4.0</v>
      </c>
      <c r="H405" s="6">
        <v>26568.8</v>
      </c>
      <c r="I405" s="6">
        <v>106275.2</v>
      </c>
      <c r="J405" s="6">
        <v>94390.72</v>
      </c>
      <c r="K405" s="6">
        <v>11884.48</v>
      </c>
      <c r="L405" s="4" t="str">
        <f t="shared" si="1"/>
        <v>May-2025</v>
      </c>
    </row>
    <row r="406" ht="15.75" customHeight="1">
      <c r="A406" s="4" t="s">
        <v>659</v>
      </c>
      <c r="B406" s="5">
        <v>45789.0</v>
      </c>
      <c r="C406" s="4" t="s">
        <v>75</v>
      </c>
      <c r="D406" s="4" t="s">
        <v>24</v>
      </c>
      <c r="E406" s="4" t="s">
        <v>15</v>
      </c>
      <c r="F406" s="4" t="s">
        <v>129</v>
      </c>
      <c r="G406" s="4">
        <v>2.0</v>
      </c>
      <c r="H406" s="6">
        <v>15569.4</v>
      </c>
      <c r="I406" s="6">
        <v>31138.8</v>
      </c>
      <c r="J406" s="6">
        <v>24999.6</v>
      </c>
      <c r="K406" s="6">
        <v>6139.2</v>
      </c>
      <c r="L406" s="4" t="str">
        <f t="shared" si="1"/>
        <v>May-2025</v>
      </c>
    </row>
    <row r="407" ht="15.75" customHeight="1">
      <c r="A407" s="4" t="s">
        <v>660</v>
      </c>
      <c r="B407" s="5">
        <v>45789.0</v>
      </c>
      <c r="C407" s="4" t="s">
        <v>66</v>
      </c>
      <c r="D407" s="4" t="s">
        <v>42</v>
      </c>
      <c r="E407" s="4" t="s">
        <v>15</v>
      </c>
      <c r="F407" s="4" t="s">
        <v>661</v>
      </c>
      <c r="G407" s="4">
        <v>5.0</v>
      </c>
      <c r="H407" s="6">
        <v>4739.43</v>
      </c>
      <c r="I407" s="6">
        <v>23697.15</v>
      </c>
      <c r="J407" s="6">
        <v>20247.79</v>
      </c>
      <c r="K407" s="6">
        <v>3449.36</v>
      </c>
      <c r="L407" s="4" t="str">
        <f t="shared" si="1"/>
        <v>May-2025</v>
      </c>
    </row>
    <row r="408" ht="15.75" customHeight="1">
      <c r="A408" s="4" t="s">
        <v>662</v>
      </c>
      <c r="B408" s="5">
        <v>45790.0</v>
      </c>
      <c r="C408" s="4" t="s">
        <v>18</v>
      </c>
      <c r="D408" s="4" t="s">
        <v>19</v>
      </c>
      <c r="E408" s="4" t="s">
        <v>29</v>
      </c>
      <c r="F408" s="4" t="s">
        <v>663</v>
      </c>
      <c r="G408" s="4">
        <v>2.0</v>
      </c>
      <c r="H408" s="6">
        <v>62592.21</v>
      </c>
      <c r="I408" s="6">
        <v>125184.42</v>
      </c>
      <c r="J408" s="6">
        <v>114083.99</v>
      </c>
      <c r="K408" s="6">
        <v>11100.43</v>
      </c>
      <c r="L408" s="4" t="str">
        <f t="shared" si="1"/>
        <v>May-2025</v>
      </c>
    </row>
    <row r="409" ht="15.75" customHeight="1">
      <c r="A409" s="4" t="s">
        <v>664</v>
      </c>
      <c r="B409" s="5">
        <v>45790.0</v>
      </c>
      <c r="C409" s="4" t="s">
        <v>41</v>
      </c>
      <c r="D409" s="4" t="s">
        <v>42</v>
      </c>
      <c r="E409" s="4" t="s">
        <v>25</v>
      </c>
      <c r="F409" s="4" t="s">
        <v>497</v>
      </c>
      <c r="G409" s="4">
        <v>4.0</v>
      </c>
      <c r="H409" s="6">
        <v>2719.68</v>
      </c>
      <c r="I409" s="6">
        <v>10878.72</v>
      </c>
      <c r="J409" s="6">
        <v>8931.26</v>
      </c>
      <c r="K409" s="6">
        <v>1947.46</v>
      </c>
      <c r="L409" s="4" t="str">
        <f t="shared" si="1"/>
        <v>May-2025</v>
      </c>
    </row>
    <row r="410" ht="15.75" customHeight="1">
      <c r="A410" s="4" t="s">
        <v>665</v>
      </c>
      <c r="B410" s="5">
        <v>45791.0</v>
      </c>
      <c r="C410" s="4" t="s">
        <v>140</v>
      </c>
      <c r="D410" s="4" t="s">
        <v>14</v>
      </c>
      <c r="E410" s="4" t="s">
        <v>29</v>
      </c>
      <c r="F410" s="4" t="s">
        <v>30</v>
      </c>
      <c r="G410" s="4">
        <v>6.0</v>
      </c>
      <c r="H410" s="6">
        <v>283.98</v>
      </c>
      <c r="I410" s="6">
        <v>1703.88</v>
      </c>
      <c r="J410" s="6">
        <v>1400.29</v>
      </c>
      <c r="K410" s="6">
        <v>303.59</v>
      </c>
      <c r="L410" s="4" t="str">
        <f t="shared" si="1"/>
        <v>May-2025</v>
      </c>
    </row>
    <row r="411" ht="15.75" customHeight="1">
      <c r="A411" s="4" t="s">
        <v>666</v>
      </c>
      <c r="B411" s="5">
        <v>45791.0</v>
      </c>
      <c r="C411" s="4" t="s">
        <v>140</v>
      </c>
      <c r="D411" s="4" t="s">
        <v>14</v>
      </c>
      <c r="E411" s="4" t="s">
        <v>20</v>
      </c>
      <c r="F411" s="4" t="s">
        <v>114</v>
      </c>
      <c r="G411" s="4">
        <v>2.0</v>
      </c>
      <c r="H411" s="6">
        <v>82.63</v>
      </c>
      <c r="I411" s="6">
        <v>165.26</v>
      </c>
      <c r="J411" s="6">
        <v>121.37</v>
      </c>
      <c r="K411" s="6">
        <v>43.89</v>
      </c>
      <c r="L411" s="4" t="str">
        <f t="shared" si="1"/>
        <v>May-2025</v>
      </c>
    </row>
    <row r="412" ht="15.75" customHeight="1">
      <c r="A412" s="4" t="s">
        <v>667</v>
      </c>
      <c r="B412" s="5">
        <v>45791.0</v>
      </c>
      <c r="C412" s="4" t="s">
        <v>28</v>
      </c>
      <c r="D412" s="4" t="s">
        <v>14</v>
      </c>
      <c r="E412" s="4" t="s">
        <v>15</v>
      </c>
      <c r="F412" s="4" t="s">
        <v>668</v>
      </c>
      <c r="G412" s="4">
        <v>7.0</v>
      </c>
      <c r="H412" s="6">
        <v>1136.59</v>
      </c>
      <c r="I412" s="6">
        <v>7956.13</v>
      </c>
      <c r="J412" s="6">
        <v>6367.89</v>
      </c>
      <c r="K412" s="6">
        <v>1588.24</v>
      </c>
      <c r="L412" s="4" t="str">
        <f t="shared" si="1"/>
        <v>May-2025</v>
      </c>
    </row>
    <row r="413" ht="15.75" customHeight="1">
      <c r="A413" s="4" t="s">
        <v>669</v>
      </c>
      <c r="B413" s="5">
        <v>45792.0</v>
      </c>
      <c r="C413" s="4" t="s">
        <v>13</v>
      </c>
      <c r="D413" s="4" t="s">
        <v>14</v>
      </c>
      <c r="E413" s="4" t="s">
        <v>25</v>
      </c>
      <c r="F413" s="4" t="s">
        <v>444</v>
      </c>
      <c r="G413" s="4">
        <v>2.0</v>
      </c>
      <c r="H413" s="6">
        <v>1122.4</v>
      </c>
      <c r="I413" s="6">
        <v>2244.8</v>
      </c>
      <c r="J413" s="6">
        <v>1753.49</v>
      </c>
      <c r="K413" s="6">
        <v>491.31</v>
      </c>
      <c r="L413" s="4" t="str">
        <f t="shared" si="1"/>
        <v>May-2025</v>
      </c>
    </row>
    <row r="414" ht="15.75" customHeight="1">
      <c r="A414" s="4" t="s">
        <v>670</v>
      </c>
      <c r="B414" s="5">
        <v>45792.0</v>
      </c>
      <c r="C414" s="4" t="s">
        <v>35</v>
      </c>
      <c r="D414" s="4" t="s">
        <v>14</v>
      </c>
      <c r="E414" s="4" t="s">
        <v>15</v>
      </c>
      <c r="F414" s="4" t="s">
        <v>103</v>
      </c>
      <c r="G414" s="4">
        <v>1.0</v>
      </c>
      <c r="H414" s="6">
        <v>232.86</v>
      </c>
      <c r="I414" s="6">
        <v>232.86</v>
      </c>
      <c r="J414" s="6">
        <v>163.94</v>
      </c>
      <c r="K414" s="6">
        <v>68.92</v>
      </c>
      <c r="L414" s="4" t="str">
        <f t="shared" si="1"/>
        <v>May-2025</v>
      </c>
    </row>
    <row r="415" ht="15.75" customHeight="1">
      <c r="A415" s="4" t="s">
        <v>671</v>
      </c>
      <c r="B415" s="5">
        <v>45793.0</v>
      </c>
      <c r="C415" s="4" t="s">
        <v>18</v>
      </c>
      <c r="D415" s="4" t="s">
        <v>19</v>
      </c>
      <c r="E415" s="4" t="s">
        <v>29</v>
      </c>
      <c r="F415" s="4" t="s">
        <v>51</v>
      </c>
      <c r="G415" s="4">
        <v>1.0</v>
      </c>
      <c r="H415" s="6">
        <v>3054.72</v>
      </c>
      <c r="I415" s="6">
        <v>3054.72</v>
      </c>
      <c r="J415" s="6">
        <v>2469.09</v>
      </c>
      <c r="K415" s="6">
        <v>585.63</v>
      </c>
      <c r="L415" s="4" t="str">
        <f t="shared" si="1"/>
        <v>May-2025</v>
      </c>
    </row>
    <row r="416" ht="15.75" customHeight="1">
      <c r="A416" s="4" t="s">
        <v>672</v>
      </c>
      <c r="B416" s="5">
        <v>45793.0</v>
      </c>
      <c r="C416" s="4" t="s">
        <v>61</v>
      </c>
      <c r="D416" s="4" t="s">
        <v>19</v>
      </c>
      <c r="E416" s="4" t="s">
        <v>25</v>
      </c>
      <c r="F416" s="4" t="s">
        <v>673</v>
      </c>
      <c r="G416" s="4">
        <v>2.0</v>
      </c>
      <c r="H416" s="6">
        <v>58821.43</v>
      </c>
      <c r="I416" s="6">
        <v>117642.86</v>
      </c>
      <c r="J416" s="6">
        <v>97618.91</v>
      </c>
      <c r="K416" s="6">
        <v>20023.95</v>
      </c>
      <c r="L416" s="4" t="str">
        <f t="shared" si="1"/>
        <v>May-2025</v>
      </c>
    </row>
    <row r="417" ht="15.75" customHeight="1">
      <c r="A417" s="4" t="s">
        <v>674</v>
      </c>
      <c r="B417" s="5">
        <v>45793.0</v>
      </c>
      <c r="C417" s="4" t="s">
        <v>155</v>
      </c>
      <c r="D417" s="4" t="s">
        <v>24</v>
      </c>
      <c r="E417" s="4" t="s">
        <v>29</v>
      </c>
      <c r="F417" s="4" t="s">
        <v>78</v>
      </c>
      <c r="G417" s="4">
        <v>5.0</v>
      </c>
      <c r="H417" s="6">
        <v>13788.13</v>
      </c>
      <c r="I417" s="6">
        <v>68940.65</v>
      </c>
      <c r="J417" s="6">
        <v>60364.76</v>
      </c>
      <c r="K417" s="6">
        <v>8575.89</v>
      </c>
      <c r="L417" s="4" t="str">
        <f t="shared" si="1"/>
        <v>May-2025</v>
      </c>
    </row>
    <row r="418" ht="15.75" customHeight="1">
      <c r="A418" s="4" t="s">
        <v>675</v>
      </c>
      <c r="B418" s="5">
        <v>45793.0</v>
      </c>
      <c r="C418" s="4" t="s">
        <v>23</v>
      </c>
      <c r="D418" s="4" t="s">
        <v>24</v>
      </c>
      <c r="E418" s="4" t="s">
        <v>20</v>
      </c>
      <c r="F418" s="4" t="s">
        <v>110</v>
      </c>
      <c r="G418" s="4">
        <v>7.0</v>
      </c>
      <c r="H418" s="6">
        <v>7774.92</v>
      </c>
      <c r="I418" s="6">
        <v>54424.44</v>
      </c>
      <c r="J418" s="6">
        <v>47787.24</v>
      </c>
      <c r="K418" s="6">
        <v>6637.2</v>
      </c>
      <c r="L418" s="4" t="str">
        <f t="shared" si="1"/>
        <v>May-2025</v>
      </c>
    </row>
    <row r="419" ht="15.75" customHeight="1">
      <c r="A419" s="4" t="s">
        <v>676</v>
      </c>
      <c r="B419" s="5">
        <v>45793.0</v>
      </c>
      <c r="C419" s="4" t="s">
        <v>92</v>
      </c>
      <c r="D419" s="4" t="s">
        <v>14</v>
      </c>
      <c r="E419" s="4" t="s">
        <v>15</v>
      </c>
      <c r="F419" s="4" t="s">
        <v>396</v>
      </c>
      <c r="G419" s="4">
        <v>7.0</v>
      </c>
      <c r="H419" s="6">
        <v>1339.24</v>
      </c>
      <c r="I419" s="6">
        <v>9374.68</v>
      </c>
      <c r="J419" s="6">
        <v>6542.01</v>
      </c>
      <c r="K419" s="6">
        <v>2832.67</v>
      </c>
      <c r="L419" s="4" t="str">
        <f t="shared" si="1"/>
        <v>May-2025</v>
      </c>
    </row>
    <row r="420" ht="15.75" customHeight="1">
      <c r="A420" s="4" t="s">
        <v>677</v>
      </c>
      <c r="B420" s="5">
        <v>45794.0</v>
      </c>
      <c r="C420" s="4" t="s">
        <v>61</v>
      </c>
      <c r="D420" s="4" t="s">
        <v>19</v>
      </c>
      <c r="E420" s="4" t="s">
        <v>15</v>
      </c>
      <c r="F420" s="4" t="s">
        <v>78</v>
      </c>
      <c r="G420" s="4">
        <v>2.0</v>
      </c>
      <c r="H420" s="6">
        <v>25698.34</v>
      </c>
      <c r="I420" s="6">
        <v>51396.68</v>
      </c>
      <c r="J420" s="6">
        <v>41265.24</v>
      </c>
      <c r="K420" s="6">
        <v>10131.44</v>
      </c>
      <c r="L420" s="4" t="str">
        <f t="shared" si="1"/>
        <v>May-2025</v>
      </c>
    </row>
    <row r="421" ht="15.75" customHeight="1">
      <c r="A421" s="4" t="s">
        <v>678</v>
      </c>
      <c r="B421" s="5">
        <v>45794.0</v>
      </c>
      <c r="C421" s="4" t="s">
        <v>180</v>
      </c>
      <c r="D421" s="4" t="s">
        <v>19</v>
      </c>
      <c r="E421" s="4" t="s">
        <v>20</v>
      </c>
      <c r="F421" s="4" t="s">
        <v>238</v>
      </c>
      <c r="G421" s="4">
        <v>5.0</v>
      </c>
      <c r="H421" s="6">
        <v>38132.43</v>
      </c>
      <c r="I421" s="6">
        <v>190662.15</v>
      </c>
      <c r="J421" s="6">
        <v>170973.7</v>
      </c>
      <c r="K421" s="6">
        <v>19688.45</v>
      </c>
      <c r="L421" s="4" t="str">
        <f t="shared" si="1"/>
        <v>May-2025</v>
      </c>
    </row>
    <row r="422" ht="15.75" customHeight="1">
      <c r="A422" s="4" t="s">
        <v>679</v>
      </c>
      <c r="B422" s="5">
        <v>45794.0</v>
      </c>
      <c r="C422" s="4" t="s">
        <v>140</v>
      </c>
      <c r="D422" s="4" t="s">
        <v>14</v>
      </c>
      <c r="E422" s="4" t="s">
        <v>25</v>
      </c>
      <c r="F422" s="4" t="s">
        <v>207</v>
      </c>
      <c r="G422" s="4">
        <v>5.0</v>
      </c>
      <c r="H422" s="6">
        <v>811.61</v>
      </c>
      <c r="I422" s="6">
        <v>4058.05</v>
      </c>
      <c r="J422" s="6">
        <v>3337.78</v>
      </c>
      <c r="K422" s="6">
        <v>720.27</v>
      </c>
      <c r="L422" s="4" t="str">
        <f t="shared" si="1"/>
        <v>May-2025</v>
      </c>
    </row>
    <row r="423" ht="15.75" customHeight="1">
      <c r="A423" s="4" t="s">
        <v>680</v>
      </c>
      <c r="B423" s="5">
        <v>45794.0</v>
      </c>
      <c r="C423" s="4" t="s">
        <v>69</v>
      </c>
      <c r="D423" s="4" t="s">
        <v>19</v>
      </c>
      <c r="E423" s="4" t="s">
        <v>15</v>
      </c>
      <c r="F423" s="4" t="s">
        <v>78</v>
      </c>
      <c r="G423" s="4">
        <v>2.0</v>
      </c>
      <c r="H423" s="6">
        <v>36468.98</v>
      </c>
      <c r="I423" s="6">
        <v>72937.96</v>
      </c>
      <c r="J423" s="6">
        <v>62736.7</v>
      </c>
      <c r="K423" s="6">
        <v>10201.26</v>
      </c>
      <c r="L423" s="4" t="str">
        <f t="shared" si="1"/>
        <v>May-2025</v>
      </c>
    </row>
    <row r="424" ht="15.75" customHeight="1">
      <c r="A424" s="4" t="s">
        <v>681</v>
      </c>
      <c r="B424" s="5">
        <v>45794.0</v>
      </c>
      <c r="C424" s="4" t="s">
        <v>23</v>
      </c>
      <c r="D424" s="4" t="s">
        <v>24</v>
      </c>
      <c r="E424" s="4" t="s">
        <v>15</v>
      </c>
      <c r="F424" s="4" t="s">
        <v>396</v>
      </c>
      <c r="G424" s="4">
        <v>5.0</v>
      </c>
      <c r="H424" s="6">
        <v>2528.62</v>
      </c>
      <c r="I424" s="6">
        <v>12643.1</v>
      </c>
      <c r="J424" s="6">
        <v>10075.72</v>
      </c>
      <c r="K424" s="6">
        <v>2567.38</v>
      </c>
      <c r="L424" s="4" t="str">
        <f t="shared" si="1"/>
        <v>May-2025</v>
      </c>
    </row>
    <row r="425" ht="15.75" customHeight="1">
      <c r="A425" s="4" t="s">
        <v>682</v>
      </c>
      <c r="B425" s="5">
        <v>45794.0</v>
      </c>
      <c r="C425" s="4" t="s">
        <v>155</v>
      </c>
      <c r="D425" s="4" t="s">
        <v>24</v>
      </c>
      <c r="E425" s="4" t="s">
        <v>29</v>
      </c>
      <c r="F425" s="4" t="s">
        <v>683</v>
      </c>
      <c r="G425" s="4">
        <v>4.0</v>
      </c>
      <c r="H425" s="6">
        <v>10592.3</v>
      </c>
      <c r="I425" s="6">
        <v>42369.2</v>
      </c>
      <c r="J425" s="6">
        <v>30892.34</v>
      </c>
      <c r="K425" s="6">
        <v>11476.86</v>
      </c>
      <c r="L425" s="4" t="str">
        <f t="shared" si="1"/>
        <v>May-2025</v>
      </c>
    </row>
    <row r="426" ht="15.75" customHeight="1">
      <c r="A426" s="4" t="s">
        <v>686</v>
      </c>
      <c r="B426" s="5">
        <v>45795.0</v>
      </c>
      <c r="C426" s="4" t="s">
        <v>92</v>
      </c>
      <c r="D426" s="4" t="s">
        <v>14</v>
      </c>
      <c r="E426" s="4" t="s">
        <v>25</v>
      </c>
      <c r="F426" s="4" t="s">
        <v>123</v>
      </c>
      <c r="G426" s="4">
        <v>3.0</v>
      </c>
      <c r="H426" s="6">
        <v>213.64</v>
      </c>
      <c r="I426" s="6">
        <v>640.92</v>
      </c>
      <c r="J426" s="6">
        <v>449.71</v>
      </c>
      <c r="K426" s="6">
        <v>191.21</v>
      </c>
      <c r="L426" s="4" t="str">
        <f t="shared" si="1"/>
        <v>May-2025</v>
      </c>
    </row>
    <row r="427" ht="15.75" customHeight="1">
      <c r="A427" s="4" t="s">
        <v>688</v>
      </c>
      <c r="B427" s="5">
        <v>45795.0</v>
      </c>
      <c r="C427" s="4" t="s">
        <v>69</v>
      </c>
      <c r="D427" s="4" t="s">
        <v>19</v>
      </c>
      <c r="E427" s="4" t="s">
        <v>25</v>
      </c>
      <c r="F427" s="4" t="s">
        <v>461</v>
      </c>
      <c r="G427" s="4">
        <v>1.0</v>
      </c>
      <c r="H427" s="6">
        <v>33321.76</v>
      </c>
      <c r="I427" s="6">
        <v>33321.76</v>
      </c>
      <c r="J427" s="6">
        <v>29605.61</v>
      </c>
      <c r="K427" s="6">
        <v>3716.15</v>
      </c>
      <c r="L427" s="4" t="str">
        <f t="shared" si="1"/>
        <v>May-2025</v>
      </c>
    </row>
    <row r="428" ht="15.75" customHeight="1">
      <c r="A428" s="4" t="s">
        <v>689</v>
      </c>
      <c r="B428" s="5">
        <v>45795.0</v>
      </c>
      <c r="C428" s="4" t="s">
        <v>140</v>
      </c>
      <c r="D428" s="4" t="s">
        <v>14</v>
      </c>
      <c r="E428" s="4" t="s">
        <v>25</v>
      </c>
      <c r="F428" s="4" t="s">
        <v>293</v>
      </c>
      <c r="G428" s="4">
        <v>5.0</v>
      </c>
      <c r="H428" s="6">
        <v>1426.21</v>
      </c>
      <c r="I428" s="6">
        <v>7131.05</v>
      </c>
      <c r="J428" s="6">
        <v>5180.09</v>
      </c>
      <c r="K428" s="6">
        <v>1950.96</v>
      </c>
      <c r="L428" s="4" t="str">
        <f t="shared" si="1"/>
        <v>May-2025</v>
      </c>
    </row>
    <row r="429" ht="15.75" customHeight="1">
      <c r="A429" s="4" t="s">
        <v>690</v>
      </c>
      <c r="B429" s="5">
        <v>45796.0</v>
      </c>
      <c r="C429" s="4" t="s">
        <v>35</v>
      </c>
      <c r="D429" s="4" t="s">
        <v>14</v>
      </c>
      <c r="E429" s="4" t="s">
        <v>20</v>
      </c>
      <c r="F429" s="4" t="s">
        <v>167</v>
      </c>
      <c r="G429" s="4">
        <v>2.0</v>
      </c>
      <c r="H429" s="6">
        <v>197.83</v>
      </c>
      <c r="I429" s="6">
        <v>395.66</v>
      </c>
      <c r="J429" s="6">
        <v>281.08</v>
      </c>
      <c r="K429" s="6">
        <v>114.58</v>
      </c>
      <c r="L429" s="4" t="str">
        <f t="shared" si="1"/>
        <v>May-2025</v>
      </c>
    </row>
    <row r="430" ht="15.75" customHeight="1">
      <c r="A430" s="4" t="s">
        <v>691</v>
      </c>
      <c r="B430" s="5">
        <v>45796.0</v>
      </c>
      <c r="C430" s="4" t="s">
        <v>92</v>
      </c>
      <c r="D430" s="4" t="s">
        <v>14</v>
      </c>
      <c r="E430" s="4" t="s">
        <v>25</v>
      </c>
      <c r="F430" s="4" t="s">
        <v>274</v>
      </c>
      <c r="G430" s="4">
        <v>5.0</v>
      </c>
      <c r="H430" s="6">
        <v>1444.16</v>
      </c>
      <c r="I430" s="6">
        <v>7220.8</v>
      </c>
      <c r="J430" s="6">
        <v>5811.77</v>
      </c>
      <c r="K430" s="6">
        <v>1409.03</v>
      </c>
      <c r="L430" s="4" t="str">
        <f t="shared" si="1"/>
        <v>May-2025</v>
      </c>
    </row>
    <row r="431" ht="15.75" customHeight="1">
      <c r="A431" s="4" t="s">
        <v>693</v>
      </c>
      <c r="B431" s="5">
        <v>45796.0</v>
      </c>
      <c r="C431" s="4" t="s">
        <v>155</v>
      </c>
      <c r="D431" s="4" t="s">
        <v>24</v>
      </c>
      <c r="E431" s="4" t="s">
        <v>20</v>
      </c>
      <c r="F431" s="4" t="s">
        <v>694</v>
      </c>
      <c r="G431" s="4">
        <v>6.0</v>
      </c>
      <c r="H431" s="6">
        <v>11906.49</v>
      </c>
      <c r="I431" s="6">
        <v>71438.94</v>
      </c>
      <c r="J431" s="6">
        <v>59655.72</v>
      </c>
      <c r="K431" s="6">
        <v>11783.22</v>
      </c>
      <c r="L431" s="4" t="str">
        <f t="shared" si="1"/>
        <v>May-2025</v>
      </c>
    </row>
    <row r="432" ht="15.75" customHeight="1">
      <c r="A432" s="4" t="s">
        <v>695</v>
      </c>
      <c r="B432" s="5">
        <v>45798.0</v>
      </c>
      <c r="C432" s="4" t="s">
        <v>75</v>
      </c>
      <c r="D432" s="4" t="s">
        <v>24</v>
      </c>
      <c r="E432" s="4" t="s">
        <v>25</v>
      </c>
      <c r="F432" s="4" t="s">
        <v>138</v>
      </c>
      <c r="G432" s="4">
        <v>5.0</v>
      </c>
      <c r="H432" s="6">
        <v>1146.55</v>
      </c>
      <c r="I432" s="6">
        <v>5732.75</v>
      </c>
      <c r="J432" s="6">
        <v>4161.41</v>
      </c>
      <c r="K432" s="6">
        <v>1571.34</v>
      </c>
      <c r="L432" s="4" t="str">
        <f t="shared" si="1"/>
        <v>May-2025</v>
      </c>
    </row>
    <row r="433" ht="15.75" customHeight="1">
      <c r="A433" s="4" t="s">
        <v>697</v>
      </c>
      <c r="B433" s="5">
        <v>45798.0</v>
      </c>
      <c r="C433" s="4" t="s">
        <v>109</v>
      </c>
      <c r="D433" s="4" t="s">
        <v>42</v>
      </c>
      <c r="E433" s="4" t="s">
        <v>29</v>
      </c>
      <c r="F433" s="4" t="s">
        <v>617</v>
      </c>
      <c r="G433" s="4">
        <v>3.0</v>
      </c>
      <c r="H433" s="6">
        <v>1113.98</v>
      </c>
      <c r="I433" s="6">
        <v>3341.94</v>
      </c>
      <c r="J433" s="6">
        <v>2968.02</v>
      </c>
      <c r="K433" s="6">
        <v>373.92</v>
      </c>
      <c r="L433" s="4" t="str">
        <f t="shared" si="1"/>
        <v>May-2025</v>
      </c>
    </row>
    <row r="434" ht="15.75" customHeight="1">
      <c r="A434" s="4" t="s">
        <v>698</v>
      </c>
      <c r="B434" s="5">
        <v>45798.0</v>
      </c>
      <c r="C434" s="4" t="s">
        <v>13</v>
      </c>
      <c r="D434" s="4" t="s">
        <v>14</v>
      </c>
      <c r="E434" s="4" t="s">
        <v>25</v>
      </c>
      <c r="F434" s="4" t="s">
        <v>36</v>
      </c>
      <c r="G434" s="4">
        <v>5.0</v>
      </c>
      <c r="H434" s="6">
        <v>529.65</v>
      </c>
      <c r="I434" s="6">
        <v>2648.25</v>
      </c>
      <c r="J434" s="6">
        <v>2188.78</v>
      </c>
      <c r="K434" s="6">
        <v>459.47</v>
      </c>
      <c r="L434" s="4" t="str">
        <f t="shared" si="1"/>
        <v>May-2025</v>
      </c>
    </row>
    <row r="435" ht="15.75" customHeight="1">
      <c r="A435" s="4" t="s">
        <v>699</v>
      </c>
      <c r="B435" s="5">
        <v>45799.0</v>
      </c>
      <c r="C435" s="4" t="s">
        <v>35</v>
      </c>
      <c r="D435" s="4" t="s">
        <v>14</v>
      </c>
      <c r="E435" s="4" t="s">
        <v>25</v>
      </c>
      <c r="F435" s="4" t="s">
        <v>270</v>
      </c>
      <c r="G435" s="4">
        <v>2.0</v>
      </c>
      <c r="H435" s="6">
        <v>563.69</v>
      </c>
      <c r="I435" s="6">
        <v>1127.38</v>
      </c>
      <c r="J435" s="6">
        <v>771.13</v>
      </c>
      <c r="K435" s="6">
        <v>356.25</v>
      </c>
      <c r="L435" s="4" t="str">
        <f t="shared" si="1"/>
        <v>May-2025</v>
      </c>
    </row>
    <row r="436" ht="15.75" customHeight="1">
      <c r="A436" s="4" t="s">
        <v>701</v>
      </c>
      <c r="B436" s="5">
        <v>45799.0</v>
      </c>
      <c r="C436" s="4" t="s">
        <v>180</v>
      </c>
      <c r="D436" s="4" t="s">
        <v>19</v>
      </c>
      <c r="E436" s="4" t="s">
        <v>25</v>
      </c>
      <c r="F436" s="4" t="s">
        <v>227</v>
      </c>
      <c r="G436" s="4">
        <v>2.0</v>
      </c>
      <c r="H436" s="6">
        <v>22786.06</v>
      </c>
      <c r="I436" s="6">
        <v>45572.12</v>
      </c>
      <c r="J436" s="6">
        <v>40648.83</v>
      </c>
      <c r="K436" s="6">
        <v>4923.29</v>
      </c>
      <c r="L436" s="4" t="str">
        <f t="shared" si="1"/>
        <v>May-2025</v>
      </c>
    </row>
    <row r="437" ht="15.75" customHeight="1">
      <c r="A437" s="4" t="s">
        <v>702</v>
      </c>
      <c r="B437" s="5">
        <v>45800.0</v>
      </c>
      <c r="C437" s="4" t="s">
        <v>109</v>
      </c>
      <c r="D437" s="4" t="s">
        <v>42</v>
      </c>
      <c r="E437" s="4" t="s">
        <v>29</v>
      </c>
      <c r="F437" s="4" t="s">
        <v>150</v>
      </c>
      <c r="G437" s="4">
        <v>4.0</v>
      </c>
      <c r="H437" s="6">
        <v>4725.7</v>
      </c>
      <c r="I437" s="6">
        <v>18902.8</v>
      </c>
      <c r="J437" s="6">
        <v>15242.21</v>
      </c>
      <c r="K437" s="6">
        <v>3660.59</v>
      </c>
      <c r="L437" s="4" t="str">
        <f t="shared" si="1"/>
        <v>May-2025</v>
      </c>
    </row>
    <row r="438" ht="15.75" customHeight="1">
      <c r="A438" s="4" t="s">
        <v>704</v>
      </c>
      <c r="B438" s="5">
        <v>45801.0</v>
      </c>
      <c r="C438" s="4" t="s">
        <v>41</v>
      </c>
      <c r="D438" s="4" t="s">
        <v>42</v>
      </c>
      <c r="E438" s="4" t="s">
        <v>29</v>
      </c>
      <c r="F438" s="4" t="s">
        <v>705</v>
      </c>
      <c r="G438" s="4">
        <v>3.0</v>
      </c>
      <c r="H438" s="6">
        <v>1548.62</v>
      </c>
      <c r="I438" s="6">
        <v>4645.86</v>
      </c>
      <c r="J438" s="6">
        <v>3749.12</v>
      </c>
      <c r="K438" s="6">
        <v>896.74</v>
      </c>
      <c r="L438" s="4" t="str">
        <f t="shared" si="1"/>
        <v>May-2025</v>
      </c>
    </row>
    <row r="439" ht="15.75" customHeight="1">
      <c r="A439" s="4" t="s">
        <v>706</v>
      </c>
      <c r="B439" s="5">
        <v>45801.0</v>
      </c>
      <c r="C439" s="4" t="s">
        <v>61</v>
      </c>
      <c r="D439" s="4" t="s">
        <v>19</v>
      </c>
      <c r="E439" s="4" t="s">
        <v>25</v>
      </c>
      <c r="F439" s="4" t="s">
        <v>707</v>
      </c>
      <c r="G439" s="4">
        <v>7.0</v>
      </c>
      <c r="H439" s="6">
        <v>51671.75</v>
      </c>
      <c r="I439" s="6">
        <v>361702.25</v>
      </c>
      <c r="J439" s="6">
        <v>299827.05</v>
      </c>
      <c r="K439" s="6">
        <v>61875.2</v>
      </c>
      <c r="L439" s="4" t="str">
        <f t="shared" si="1"/>
        <v>May-2025</v>
      </c>
    </row>
    <row r="440" ht="15.75" customHeight="1">
      <c r="A440" s="4" t="s">
        <v>708</v>
      </c>
      <c r="B440" s="5">
        <v>45801.0</v>
      </c>
      <c r="C440" s="4" t="s">
        <v>28</v>
      </c>
      <c r="D440" s="4" t="s">
        <v>14</v>
      </c>
      <c r="E440" s="4" t="s">
        <v>29</v>
      </c>
      <c r="F440" s="4" t="s">
        <v>21</v>
      </c>
      <c r="G440" s="4">
        <v>4.0</v>
      </c>
      <c r="H440" s="6">
        <v>1086.16</v>
      </c>
      <c r="I440" s="6">
        <v>4344.64</v>
      </c>
      <c r="J440" s="6">
        <v>3372.75</v>
      </c>
      <c r="K440" s="6">
        <v>971.89</v>
      </c>
      <c r="L440" s="4" t="str">
        <f t="shared" si="1"/>
        <v>May-2025</v>
      </c>
    </row>
    <row r="441" ht="15.75" customHeight="1">
      <c r="A441" s="4" t="s">
        <v>709</v>
      </c>
      <c r="B441" s="5">
        <v>45801.0</v>
      </c>
      <c r="C441" s="4" t="s">
        <v>69</v>
      </c>
      <c r="D441" s="4" t="s">
        <v>19</v>
      </c>
      <c r="E441" s="4" t="s">
        <v>15</v>
      </c>
      <c r="F441" s="4" t="s">
        <v>710</v>
      </c>
      <c r="G441" s="4">
        <v>2.0</v>
      </c>
      <c r="H441" s="6">
        <v>22618.12</v>
      </c>
      <c r="I441" s="6">
        <v>45236.24</v>
      </c>
      <c r="J441" s="6">
        <v>37741.18</v>
      </c>
      <c r="K441" s="6">
        <v>7495.06</v>
      </c>
      <c r="L441" s="4" t="str">
        <f t="shared" si="1"/>
        <v>May-2025</v>
      </c>
    </row>
    <row r="442" ht="15.75" customHeight="1">
      <c r="A442" s="4" t="s">
        <v>711</v>
      </c>
      <c r="B442" s="5">
        <v>45802.0</v>
      </c>
      <c r="C442" s="4" t="s">
        <v>140</v>
      </c>
      <c r="D442" s="4" t="s">
        <v>14</v>
      </c>
      <c r="E442" s="4" t="s">
        <v>29</v>
      </c>
      <c r="F442" s="4" t="s">
        <v>452</v>
      </c>
      <c r="G442" s="4">
        <v>2.0</v>
      </c>
      <c r="H442" s="6">
        <v>203.52</v>
      </c>
      <c r="I442" s="6">
        <v>407.04</v>
      </c>
      <c r="J442" s="6">
        <v>299.22</v>
      </c>
      <c r="K442" s="6">
        <v>107.82</v>
      </c>
      <c r="L442" s="4" t="str">
        <f t="shared" si="1"/>
        <v>May-2025</v>
      </c>
    </row>
    <row r="443" ht="15.75" customHeight="1">
      <c r="A443" s="4" t="s">
        <v>712</v>
      </c>
      <c r="B443" s="5">
        <v>45803.0</v>
      </c>
      <c r="C443" s="4" t="s">
        <v>140</v>
      </c>
      <c r="D443" s="4" t="s">
        <v>14</v>
      </c>
      <c r="E443" s="4" t="s">
        <v>29</v>
      </c>
      <c r="F443" s="4" t="s">
        <v>713</v>
      </c>
      <c r="G443" s="4">
        <v>1.0</v>
      </c>
      <c r="H443" s="6">
        <v>1364.96</v>
      </c>
      <c r="I443" s="6">
        <v>1364.96</v>
      </c>
      <c r="J443" s="6">
        <v>1055.84</v>
      </c>
      <c r="K443" s="6">
        <v>309.12</v>
      </c>
      <c r="L443" s="4" t="str">
        <f t="shared" si="1"/>
        <v>May-2025</v>
      </c>
    </row>
    <row r="444" ht="15.75" customHeight="1">
      <c r="A444" s="4" t="s">
        <v>714</v>
      </c>
      <c r="B444" s="5">
        <v>45803.0</v>
      </c>
      <c r="C444" s="4" t="s">
        <v>155</v>
      </c>
      <c r="D444" s="4" t="s">
        <v>24</v>
      </c>
      <c r="E444" s="4" t="s">
        <v>15</v>
      </c>
      <c r="F444" s="4" t="s">
        <v>16</v>
      </c>
      <c r="G444" s="4">
        <v>4.0</v>
      </c>
      <c r="H444" s="6">
        <v>7747.42</v>
      </c>
      <c r="I444" s="6">
        <v>30989.68</v>
      </c>
      <c r="J444" s="6">
        <v>22825.39</v>
      </c>
      <c r="K444" s="6">
        <v>8164.29</v>
      </c>
      <c r="L444" s="4" t="str">
        <f t="shared" si="1"/>
        <v>May-2025</v>
      </c>
    </row>
    <row r="445" ht="15.75" customHeight="1">
      <c r="A445" s="4" t="s">
        <v>715</v>
      </c>
      <c r="B445" s="5">
        <v>45803.0</v>
      </c>
      <c r="C445" s="4" t="s">
        <v>69</v>
      </c>
      <c r="D445" s="4" t="s">
        <v>19</v>
      </c>
      <c r="E445" s="4" t="s">
        <v>15</v>
      </c>
      <c r="F445" s="4" t="s">
        <v>199</v>
      </c>
      <c r="G445" s="4">
        <v>3.0</v>
      </c>
      <c r="H445" s="6">
        <v>62754.74</v>
      </c>
      <c r="I445" s="6">
        <v>188264.22</v>
      </c>
      <c r="J445" s="6">
        <v>152805.01</v>
      </c>
      <c r="K445" s="6">
        <v>35459.21</v>
      </c>
      <c r="L445" s="4" t="str">
        <f t="shared" si="1"/>
        <v>May-2025</v>
      </c>
    </row>
    <row r="446" ht="15.75" customHeight="1">
      <c r="A446" s="4" t="s">
        <v>716</v>
      </c>
      <c r="B446" s="5">
        <v>45803.0</v>
      </c>
      <c r="C446" s="4" t="s">
        <v>35</v>
      </c>
      <c r="D446" s="4" t="s">
        <v>14</v>
      </c>
      <c r="E446" s="4" t="s">
        <v>20</v>
      </c>
      <c r="F446" s="4" t="s">
        <v>45</v>
      </c>
      <c r="G446" s="4">
        <v>4.0</v>
      </c>
      <c r="H446" s="6">
        <v>74.17</v>
      </c>
      <c r="I446" s="6">
        <v>296.68</v>
      </c>
      <c r="J446" s="6">
        <v>241.51</v>
      </c>
      <c r="K446" s="6">
        <v>55.17</v>
      </c>
      <c r="L446" s="4" t="str">
        <f t="shared" si="1"/>
        <v>May-2025</v>
      </c>
    </row>
    <row r="447" ht="15.75" customHeight="1">
      <c r="A447" s="4" t="s">
        <v>717</v>
      </c>
      <c r="B447" s="5">
        <v>45803.0</v>
      </c>
      <c r="C447" s="4" t="s">
        <v>75</v>
      </c>
      <c r="D447" s="4" t="s">
        <v>24</v>
      </c>
      <c r="E447" s="4" t="s">
        <v>25</v>
      </c>
      <c r="F447" s="4" t="s">
        <v>497</v>
      </c>
      <c r="G447" s="4">
        <v>1.0</v>
      </c>
      <c r="H447" s="6">
        <v>11049.3</v>
      </c>
      <c r="I447" s="6">
        <v>11049.3</v>
      </c>
      <c r="J447" s="6">
        <v>7958.42</v>
      </c>
      <c r="K447" s="6">
        <v>3090.88</v>
      </c>
      <c r="L447" s="4" t="str">
        <f t="shared" si="1"/>
        <v>May-2025</v>
      </c>
    </row>
    <row r="448" ht="15.75" customHeight="1">
      <c r="A448" s="4" t="s">
        <v>718</v>
      </c>
      <c r="B448" s="5">
        <v>45803.0</v>
      </c>
      <c r="C448" s="4" t="s">
        <v>92</v>
      </c>
      <c r="D448" s="4" t="s">
        <v>14</v>
      </c>
      <c r="E448" s="4" t="s">
        <v>25</v>
      </c>
      <c r="F448" s="4" t="s">
        <v>719</v>
      </c>
      <c r="G448" s="4">
        <v>6.0</v>
      </c>
      <c r="H448" s="6">
        <v>268.22</v>
      </c>
      <c r="I448" s="6">
        <v>1609.32</v>
      </c>
      <c r="J448" s="6">
        <v>1247.13</v>
      </c>
      <c r="K448" s="6">
        <v>362.19</v>
      </c>
      <c r="L448" s="4" t="str">
        <f t="shared" si="1"/>
        <v>May-2025</v>
      </c>
    </row>
    <row r="449" ht="15.75" customHeight="1">
      <c r="A449" s="4" t="s">
        <v>720</v>
      </c>
      <c r="B449" s="5">
        <v>45804.0</v>
      </c>
      <c r="C449" s="4" t="s">
        <v>47</v>
      </c>
      <c r="D449" s="4" t="s">
        <v>14</v>
      </c>
      <c r="E449" s="4" t="s">
        <v>25</v>
      </c>
      <c r="F449" s="4" t="s">
        <v>309</v>
      </c>
      <c r="G449" s="4">
        <v>7.0</v>
      </c>
      <c r="H449" s="6">
        <v>448.36</v>
      </c>
      <c r="I449" s="6">
        <v>3138.52</v>
      </c>
      <c r="J449" s="6">
        <v>2448.44</v>
      </c>
      <c r="K449" s="6">
        <v>690.08</v>
      </c>
      <c r="L449" s="4" t="str">
        <f t="shared" si="1"/>
        <v>May-2025</v>
      </c>
    </row>
    <row r="450" ht="15.75" customHeight="1">
      <c r="A450" s="4" t="s">
        <v>721</v>
      </c>
      <c r="B450" s="5">
        <v>45804.0</v>
      </c>
      <c r="C450" s="4" t="s">
        <v>47</v>
      </c>
      <c r="D450" s="4" t="s">
        <v>14</v>
      </c>
      <c r="E450" s="4" t="s">
        <v>15</v>
      </c>
      <c r="F450" s="4" t="s">
        <v>129</v>
      </c>
      <c r="G450" s="4">
        <v>3.0</v>
      </c>
      <c r="H450" s="6">
        <v>520.96</v>
      </c>
      <c r="I450" s="6">
        <v>1562.88</v>
      </c>
      <c r="J450" s="6">
        <v>1111.69</v>
      </c>
      <c r="K450" s="6">
        <v>451.19</v>
      </c>
      <c r="L450" s="4" t="str">
        <f t="shared" si="1"/>
        <v>May-2025</v>
      </c>
    </row>
    <row r="451" ht="15.75" customHeight="1">
      <c r="A451" s="4" t="s">
        <v>722</v>
      </c>
      <c r="B451" s="5">
        <v>45805.0</v>
      </c>
      <c r="C451" s="4" t="s">
        <v>61</v>
      </c>
      <c r="D451" s="4" t="s">
        <v>19</v>
      </c>
      <c r="E451" s="4" t="s">
        <v>20</v>
      </c>
      <c r="F451" s="4" t="s">
        <v>396</v>
      </c>
      <c r="G451" s="4">
        <v>7.0</v>
      </c>
      <c r="H451" s="6">
        <v>16217.53</v>
      </c>
      <c r="I451" s="6">
        <v>113522.71</v>
      </c>
      <c r="J451" s="6">
        <v>96434.86</v>
      </c>
      <c r="K451" s="6">
        <v>17087.85</v>
      </c>
      <c r="L451" s="4" t="str">
        <f t="shared" si="1"/>
        <v>May-2025</v>
      </c>
    </row>
    <row r="452" ht="15.75" customHeight="1">
      <c r="A452" s="4" t="s">
        <v>723</v>
      </c>
      <c r="B452" s="5">
        <v>45805.0</v>
      </c>
      <c r="C452" s="4" t="s">
        <v>61</v>
      </c>
      <c r="D452" s="4" t="s">
        <v>19</v>
      </c>
      <c r="E452" s="4" t="s">
        <v>25</v>
      </c>
      <c r="F452" s="4" t="s">
        <v>43</v>
      </c>
      <c r="G452" s="4">
        <v>7.0</v>
      </c>
      <c r="H452" s="6">
        <v>21522.29</v>
      </c>
      <c r="I452" s="6">
        <v>150656.03</v>
      </c>
      <c r="J452" s="6">
        <v>126981.06</v>
      </c>
      <c r="K452" s="6">
        <v>23674.97</v>
      </c>
      <c r="L452" s="4" t="str">
        <f t="shared" si="1"/>
        <v>May-2025</v>
      </c>
    </row>
    <row r="453" ht="15.75" customHeight="1">
      <c r="A453" s="4" t="s">
        <v>724</v>
      </c>
      <c r="B453" s="5">
        <v>45805.0</v>
      </c>
      <c r="C453" s="4" t="s">
        <v>180</v>
      </c>
      <c r="D453" s="4" t="s">
        <v>19</v>
      </c>
      <c r="E453" s="4" t="s">
        <v>20</v>
      </c>
      <c r="F453" s="4" t="s">
        <v>725</v>
      </c>
      <c r="G453" s="4">
        <v>2.0</v>
      </c>
      <c r="H453" s="6">
        <v>26215.3</v>
      </c>
      <c r="I453" s="6">
        <v>52430.6</v>
      </c>
      <c r="J453" s="6">
        <v>46805.73</v>
      </c>
      <c r="K453" s="6">
        <v>5624.87</v>
      </c>
      <c r="L453" s="4" t="str">
        <f t="shared" si="1"/>
        <v>May-2025</v>
      </c>
    </row>
    <row r="454" ht="15.75" customHeight="1">
      <c r="A454" s="4" t="s">
        <v>726</v>
      </c>
      <c r="B454" s="5">
        <v>45806.0</v>
      </c>
      <c r="C454" s="4" t="s">
        <v>32</v>
      </c>
      <c r="D454" s="4" t="s">
        <v>19</v>
      </c>
      <c r="E454" s="4" t="s">
        <v>25</v>
      </c>
      <c r="F454" s="4" t="s">
        <v>727</v>
      </c>
      <c r="G454" s="4">
        <v>4.0</v>
      </c>
      <c r="H454" s="6">
        <v>43833.18</v>
      </c>
      <c r="I454" s="6">
        <v>175332.72</v>
      </c>
      <c r="J454" s="6">
        <v>159433.48</v>
      </c>
      <c r="K454" s="6">
        <v>15899.24</v>
      </c>
      <c r="L454" s="4" t="str">
        <f t="shared" si="1"/>
        <v>May-2025</v>
      </c>
    </row>
    <row r="455" ht="15.75" customHeight="1">
      <c r="A455" s="4" t="s">
        <v>728</v>
      </c>
      <c r="B455" s="5">
        <v>45806.0</v>
      </c>
      <c r="C455" s="4" t="s">
        <v>160</v>
      </c>
      <c r="D455" s="4" t="s">
        <v>42</v>
      </c>
      <c r="E455" s="4" t="s">
        <v>20</v>
      </c>
      <c r="F455" s="4" t="s">
        <v>110</v>
      </c>
      <c r="G455" s="4">
        <v>6.0</v>
      </c>
      <c r="H455" s="6">
        <v>3668.71</v>
      </c>
      <c r="I455" s="6">
        <v>22012.26</v>
      </c>
      <c r="J455" s="6">
        <v>17326.49</v>
      </c>
      <c r="K455" s="6">
        <v>4685.77</v>
      </c>
      <c r="L455" s="4" t="str">
        <f t="shared" si="1"/>
        <v>May-2025</v>
      </c>
    </row>
    <row r="456" ht="15.75" customHeight="1">
      <c r="A456" s="4" t="s">
        <v>729</v>
      </c>
      <c r="B456" s="5">
        <v>45806.0</v>
      </c>
      <c r="C456" s="4" t="s">
        <v>75</v>
      </c>
      <c r="D456" s="4" t="s">
        <v>24</v>
      </c>
      <c r="E456" s="4" t="s">
        <v>20</v>
      </c>
      <c r="F456" s="4" t="s">
        <v>199</v>
      </c>
      <c r="G456" s="4">
        <v>3.0</v>
      </c>
      <c r="H456" s="6">
        <v>7063.5</v>
      </c>
      <c r="I456" s="6">
        <v>21190.5</v>
      </c>
      <c r="J456" s="6">
        <v>15826.62</v>
      </c>
      <c r="K456" s="6">
        <v>5363.88</v>
      </c>
      <c r="L456" s="4" t="str">
        <f t="shared" si="1"/>
        <v>May-2025</v>
      </c>
    </row>
    <row r="457" ht="15.75" customHeight="1">
      <c r="A457" s="4" t="s">
        <v>730</v>
      </c>
      <c r="B457" s="5">
        <v>45806.0</v>
      </c>
      <c r="C457" s="4" t="s">
        <v>18</v>
      </c>
      <c r="D457" s="4" t="s">
        <v>19</v>
      </c>
      <c r="E457" s="4" t="s">
        <v>29</v>
      </c>
      <c r="F457" s="4" t="s">
        <v>105</v>
      </c>
      <c r="G457" s="4">
        <v>5.0</v>
      </c>
      <c r="H457" s="6">
        <v>73397.08</v>
      </c>
      <c r="I457" s="6">
        <v>366985.4</v>
      </c>
      <c r="J457" s="6">
        <v>304677.51</v>
      </c>
      <c r="K457" s="6">
        <v>62307.89</v>
      </c>
      <c r="L457" s="4" t="str">
        <f t="shared" si="1"/>
        <v>May-2025</v>
      </c>
    </row>
    <row r="458" ht="15.75" customHeight="1">
      <c r="A458" s="4" t="s">
        <v>731</v>
      </c>
      <c r="B458" s="5">
        <v>45807.0</v>
      </c>
      <c r="C458" s="4" t="s">
        <v>155</v>
      </c>
      <c r="D458" s="4" t="s">
        <v>24</v>
      </c>
      <c r="E458" s="4" t="s">
        <v>25</v>
      </c>
      <c r="F458" s="4" t="s">
        <v>557</v>
      </c>
      <c r="G458" s="4">
        <v>2.0</v>
      </c>
      <c r="H458" s="6">
        <v>12179.2</v>
      </c>
      <c r="I458" s="6">
        <v>24358.4</v>
      </c>
      <c r="J458" s="6">
        <v>17689.77</v>
      </c>
      <c r="K458" s="6">
        <v>6668.63</v>
      </c>
      <c r="L458" s="4" t="str">
        <f t="shared" si="1"/>
        <v>May-2025</v>
      </c>
    </row>
    <row r="459" ht="15.75" customHeight="1">
      <c r="A459" s="4" t="s">
        <v>732</v>
      </c>
      <c r="B459" s="5">
        <v>45807.0</v>
      </c>
      <c r="C459" s="4" t="s">
        <v>13</v>
      </c>
      <c r="D459" s="4" t="s">
        <v>14</v>
      </c>
      <c r="E459" s="4" t="s">
        <v>15</v>
      </c>
      <c r="F459" s="4" t="s">
        <v>207</v>
      </c>
      <c r="G459" s="4">
        <v>6.0</v>
      </c>
      <c r="H459" s="6">
        <v>1396.34</v>
      </c>
      <c r="I459" s="6">
        <v>8378.04</v>
      </c>
      <c r="J459" s="6">
        <v>5823.01</v>
      </c>
      <c r="K459" s="6">
        <v>2555.03</v>
      </c>
      <c r="L459" s="4" t="str">
        <f t="shared" si="1"/>
        <v>May-2025</v>
      </c>
    </row>
    <row r="460" ht="15.75" customHeight="1">
      <c r="A460" s="4" t="s">
        <v>733</v>
      </c>
      <c r="B460" s="5">
        <v>45807.0</v>
      </c>
      <c r="C460" s="4" t="s">
        <v>47</v>
      </c>
      <c r="D460" s="4" t="s">
        <v>14</v>
      </c>
      <c r="E460" s="4" t="s">
        <v>20</v>
      </c>
      <c r="F460" s="4" t="s">
        <v>633</v>
      </c>
      <c r="G460" s="4">
        <v>3.0</v>
      </c>
      <c r="H460" s="6">
        <v>645.56</v>
      </c>
      <c r="I460" s="6">
        <v>1936.68</v>
      </c>
      <c r="J460" s="6">
        <v>1418.44</v>
      </c>
      <c r="K460" s="6">
        <v>518.24</v>
      </c>
      <c r="L460" s="4" t="str">
        <f t="shared" si="1"/>
        <v>May-2025</v>
      </c>
    </row>
    <row r="461" ht="15.75" customHeight="1">
      <c r="A461" s="4" t="s">
        <v>734</v>
      </c>
      <c r="B461" s="5">
        <v>45807.0</v>
      </c>
      <c r="C461" s="4" t="s">
        <v>69</v>
      </c>
      <c r="D461" s="4" t="s">
        <v>19</v>
      </c>
      <c r="E461" s="4" t="s">
        <v>25</v>
      </c>
      <c r="F461" s="4" t="s">
        <v>735</v>
      </c>
      <c r="G461" s="4">
        <v>2.0</v>
      </c>
      <c r="H461" s="6">
        <v>40352.7</v>
      </c>
      <c r="I461" s="6">
        <v>80705.4</v>
      </c>
      <c r="J461" s="6">
        <v>68132.68</v>
      </c>
      <c r="K461" s="6">
        <v>12572.72</v>
      </c>
      <c r="L461" s="4" t="str">
        <f t="shared" si="1"/>
        <v>May-2025</v>
      </c>
    </row>
    <row r="462" ht="15.75" customHeight="1">
      <c r="A462" s="4" t="s">
        <v>736</v>
      </c>
      <c r="B462" s="5">
        <v>45808.0</v>
      </c>
      <c r="C462" s="4" t="s">
        <v>140</v>
      </c>
      <c r="D462" s="4" t="s">
        <v>14</v>
      </c>
      <c r="E462" s="4" t="s">
        <v>25</v>
      </c>
      <c r="F462" s="4" t="s">
        <v>448</v>
      </c>
      <c r="G462" s="4">
        <v>2.0</v>
      </c>
      <c r="H462" s="6">
        <v>1183.74</v>
      </c>
      <c r="I462" s="6">
        <v>2367.48</v>
      </c>
      <c r="J462" s="6">
        <v>1623.72</v>
      </c>
      <c r="K462" s="6">
        <v>743.76</v>
      </c>
      <c r="L462" s="4" t="str">
        <f t="shared" si="1"/>
        <v>May-2025</v>
      </c>
    </row>
    <row r="463" ht="15.75" customHeight="1">
      <c r="A463" s="4" t="s">
        <v>737</v>
      </c>
      <c r="B463" s="5">
        <v>45808.0</v>
      </c>
      <c r="C463" s="4" t="s">
        <v>75</v>
      </c>
      <c r="D463" s="4" t="s">
        <v>24</v>
      </c>
      <c r="E463" s="4" t="s">
        <v>20</v>
      </c>
      <c r="F463" s="4" t="s">
        <v>138</v>
      </c>
      <c r="G463" s="4">
        <v>7.0</v>
      </c>
      <c r="H463" s="6">
        <v>7625.2</v>
      </c>
      <c r="I463" s="6">
        <v>53376.4</v>
      </c>
      <c r="J463" s="6">
        <v>45433.42</v>
      </c>
      <c r="K463" s="6">
        <v>7942.98</v>
      </c>
      <c r="L463" s="4" t="str">
        <f t="shared" si="1"/>
        <v>May-2025</v>
      </c>
    </row>
    <row r="464" ht="15.75" customHeight="1">
      <c r="A464" s="4" t="s">
        <v>738</v>
      </c>
      <c r="B464" s="5">
        <v>45808.0</v>
      </c>
      <c r="C464" s="4" t="s">
        <v>47</v>
      </c>
      <c r="D464" s="4" t="s">
        <v>14</v>
      </c>
      <c r="E464" s="4" t="s">
        <v>20</v>
      </c>
      <c r="F464" s="4" t="s">
        <v>573</v>
      </c>
      <c r="G464" s="4">
        <v>3.0</v>
      </c>
      <c r="H464" s="6">
        <v>534.58</v>
      </c>
      <c r="I464" s="6">
        <v>1603.74</v>
      </c>
      <c r="J464" s="6">
        <v>1205.5</v>
      </c>
      <c r="K464" s="6">
        <v>398.24</v>
      </c>
      <c r="L464" s="4" t="str">
        <f t="shared" si="1"/>
        <v>May-2025</v>
      </c>
    </row>
    <row r="465" ht="15.75" customHeight="1">
      <c r="A465" s="4" t="s">
        <v>739</v>
      </c>
      <c r="B465" s="5">
        <v>45808.0</v>
      </c>
      <c r="C465" s="4" t="s">
        <v>32</v>
      </c>
      <c r="D465" s="4" t="s">
        <v>19</v>
      </c>
      <c r="E465" s="4" t="s">
        <v>15</v>
      </c>
      <c r="F465" s="4" t="s">
        <v>121</v>
      </c>
      <c r="G465" s="4">
        <v>2.0</v>
      </c>
      <c r="H465" s="6">
        <v>19939.27</v>
      </c>
      <c r="I465" s="6">
        <v>39878.54</v>
      </c>
      <c r="J465" s="6">
        <v>33529.95</v>
      </c>
      <c r="K465" s="6">
        <v>6348.59</v>
      </c>
      <c r="L465" s="4" t="str">
        <f t="shared" si="1"/>
        <v>May-2025</v>
      </c>
    </row>
    <row r="466" ht="15.75" customHeight="1">
      <c r="A466" s="4" t="s">
        <v>740</v>
      </c>
      <c r="B466" s="5">
        <v>45809.0</v>
      </c>
      <c r="C466" s="4" t="s">
        <v>140</v>
      </c>
      <c r="D466" s="4" t="s">
        <v>14</v>
      </c>
      <c r="E466" s="4" t="s">
        <v>20</v>
      </c>
      <c r="F466" s="4" t="s">
        <v>741</v>
      </c>
      <c r="G466" s="4">
        <v>4.0</v>
      </c>
      <c r="H466" s="6">
        <v>1119.39</v>
      </c>
      <c r="I466" s="6">
        <v>4477.56</v>
      </c>
      <c r="J466" s="6">
        <v>3539.74</v>
      </c>
      <c r="K466" s="6">
        <v>937.82</v>
      </c>
      <c r="L466" s="4" t="str">
        <f t="shared" si="1"/>
        <v>Jun-2025</v>
      </c>
    </row>
    <row r="467" ht="15.75" customHeight="1">
      <c r="A467" s="4" t="s">
        <v>742</v>
      </c>
      <c r="B467" s="5">
        <v>45809.0</v>
      </c>
      <c r="C467" s="4" t="s">
        <v>32</v>
      </c>
      <c r="D467" s="4" t="s">
        <v>19</v>
      </c>
      <c r="E467" s="4" t="s">
        <v>29</v>
      </c>
      <c r="F467" s="4" t="s">
        <v>186</v>
      </c>
      <c r="G467" s="4">
        <v>6.0</v>
      </c>
      <c r="H467" s="6">
        <v>17032.31</v>
      </c>
      <c r="I467" s="6">
        <v>102193.86</v>
      </c>
      <c r="J467" s="6">
        <v>87174.2</v>
      </c>
      <c r="K467" s="6">
        <v>15019.66</v>
      </c>
      <c r="L467" s="4" t="str">
        <f t="shared" si="1"/>
        <v>Jun-2025</v>
      </c>
    </row>
    <row r="468" ht="15.75" customHeight="1">
      <c r="A468" s="4" t="s">
        <v>743</v>
      </c>
      <c r="B468" s="5">
        <v>45809.0</v>
      </c>
      <c r="C468" s="4" t="s">
        <v>13</v>
      </c>
      <c r="D468" s="4" t="s">
        <v>14</v>
      </c>
      <c r="E468" s="4" t="s">
        <v>15</v>
      </c>
      <c r="F468" s="4" t="s">
        <v>468</v>
      </c>
      <c r="G468" s="4">
        <v>5.0</v>
      </c>
      <c r="H468" s="6">
        <v>1109.69</v>
      </c>
      <c r="I468" s="6">
        <v>5548.45</v>
      </c>
      <c r="J468" s="6">
        <v>4045.65</v>
      </c>
      <c r="K468" s="6">
        <v>1502.8</v>
      </c>
      <c r="L468" s="4" t="str">
        <f t="shared" si="1"/>
        <v>Jun-2025</v>
      </c>
    </row>
    <row r="469" ht="15.75" customHeight="1">
      <c r="A469" s="4" t="s">
        <v>744</v>
      </c>
      <c r="B469" s="5">
        <v>45809.0</v>
      </c>
      <c r="C469" s="4" t="s">
        <v>102</v>
      </c>
      <c r="D469" s="4" t="s">
        <v>24</v>
      </c>
      <c r="E469" s="4" t="s">
        <v>25</v>
      </c>
      <c r="F469" s="4" t="s">
        <v>557</v>
      </c>
      <c r="G469" s="4">
        <v>5.0</v>
      </c>
      <c r="H469" s="6">
        <v>1892.97</v>
      </c>
      <c r="I469" s="6">
        <v>9464.85</v>
      </c>
      <c r="J469" s="6">
        <v>7901.73</v>
      </c>
      <c r="K469" s="6">
        <v>1563.12</v>
      </c>
      <c r="L469" s="4" t="str">
        <f t="shared" si="1"/>
        <v>Jun-2025</v>
      </c>
    </row>
    <row r="470" ht="15.75" customHeight="1">
      <c r="A470" s="4" t="s">
        <v>745</v>
      </c>
      <c r="B470" s="5">
        <v>45809.0</v>
      </c>
      <c r="C470" s="4" t="s">
        <v>160</v>
      </c>
      <c r="D470" s="4" t="s">
        <v>42</v>
      </c>
      <c r="E470" s="4" t="s">
        <v>20</v>
      </c>
      <c r="F470" s="4" t="s">
        <v>746</v>
      </c>
      <c r="G470" s="4">
        <v>1.0</v>
      </c>
      <c r="H470" s="6">
        <v>1564.58</v>
      </c>
      <c r="I470" s="6">
        <v>1564.58</v>
      </c>
      <c r="J470" s="6">
        <v>1211.9</v>
      </c>
      <c r="K470" s="6">
        <v>352.68</v>
      </c>
      <c r="L470" s="4" t="str">
        <f t="shared" si="1"/>
        <v>Jun-2025</v>
      </c>
    </row>
    <row r="471" ht="15.75" customHeight="1">
      <c r="A471" s="4" t="s">
        <v>747</v>
      </c>
      <c r="B471" s="5">
        <v>45809.0</v>
      </c>
      <c r="C471" s="4" t="s">
        <v>32</v>
      </c>
      <c r="D471" s="4" t="s">
        <v>19</v>
      </c>
      <c r="E471" s="4" t="s">
        <v>15</v>
      </c>
      <c r="F471" s="4" t="s">
        <v>243</v>
      </c>
      <c r="G471" s="4">
        <v>5.0</v>
      </c>
      <c r="H471" s="6">
        <v>31573.4</v>
      </c>
      <c r="I471" s="6">
        <v>157867.0</v>
      </c>
      <c r="J471" s="6">
        <v>130956.39</v>
      </c>
      <c r="K471" s="6">
        <v>26910.61</v>
      </c>
      <c r="L471" s="4" t="str">
        <f t="shared" si="1"/>
        <v>Jun-2025</v>
      </c>
    </row>
    <row r="472" ht="15.75" customHeight="1">
      <c r="A472" s="4" t="s">
        <v>748</v>
      </c>
      <c r="B472" s="5">
        <v>45809.0</v>
      </c>
      <c r="C472" s="4" t="s">
        <v>61</v>
      </c>
      <c r="D472" s="4" t="s">
        <v>19</v>
      </c>
      <c r="E472" s="4" t="s">
        <v>20</v>
      </c>
      <c r="F472" s="4" t="s">
        <v>346</v>
      </c>
      <c r="G472" s="4">
        <v>5.0</v>
      </c>
      <c r="H472" s="6">
        <v>53548.36</v>
      </c>
      <c r="I472" s="6">
        <v>267741.8</v>
      </c>
      <c r="J472" s="6">
        <v>215049.15</v>
      </c>
      <c r="K472" s="6">
        <v>52692.65</v>
      </c>
      <c r="L472" s="4" t="str">
        <f t="shared" si="1"/>
        <v>Jun-2025</v>
      </c>
    </row>
    <row r="473" ht="15.75" customHeight="1">
      <c r="A473" s="4" t="s">
        <v>749</v>
      </c>
      <c r="B473" s="5">
        <v>45809.0</v>
      </c>
      <c r="C473" s="4" t="s">
        <v>69</v>
      </c>
      <c r="D473" s="4" t="s">
        <v>19</v>
      </c>
      <c r="E473" s="4" t="s">
        <v>25</v>
      </c>
      <c r="F473" s="4" t="s">
        <v>129</v>
      </c>
      <c r="G473" s="4">
        <v>6.0</v>
      </c>
      <c r="H473" s="6">
        <v>73662.11</v>
      </c>
      <c r="I473" s="6">
        <v>441972.66</v>
      </c>
      <c r="J473" s="6">
        <v>395485.52</v>
      </c>
      <c r="K473" s="6">
        <v>46487.14</v>
      </c>
      <c r="L473" s="4" t="str">
        <f t="shared" si="1"/>
        <v>Jun-2025</v>
      </c>
    </row>
    <row r="474" ht="15.75" customHeight="1">
      <c r="A474" s="4" t="s">
        <v>750</v>
      </c>
      <c r="B474" s="5">
        <v>45810.0</v>
      </c>
      <c r="C474" s="4" t="s">
        <v>102</v>
      </c>
      <c r="D474" s="4" t="s">
        <v>24</v>
      </c>
      <c r="E474" s="4" t="s">
        <v>20</v>
      </c>
      <c r="F474" s="4" t="s">
        <v>552</v>
      </c>
      <c r="G474" s="4">
        <v>4.0</v>
      </c>
      <c r="H474" s="6">
        <v>12187.77</v>
      </c>
      <c r="I474" s="6">
        <v>48751.08</v>
      </c>
      <c r="J474" s="6">
        <v>39084.49</v>
      </c>
      <c r="K474" s="6">
        <v>9666.59</v>
      </c>
      <c r="L474" s="4" t="str">
        <f t="shared" si="1"/>
        <v>Jun-2025</v>
      </c>
    </row>
    <row r="475" ht="15.75" customHeight="1">
      <c r="A475" s="4" t="s">
        <v>751</v>
      </c>
      <c r="B475" s="5">
        <v>45810.0</v>
      </c>
      <c r="C475" s="4" t="s">
        <v>140</v>
      </c>
      <c r="D475" s="4" t="s">
        <v>14</v>
      </c>
      <c r="E475" s="4" t="s">
        <v>25</v>
      </c>
      <c r="F475" s="4" t="s">
        <v>95</v>
      </c>
      <c r="G475" s="4">
        <v>3.0</v>
      </c>
      <c r="H475" s="6">
        <v>1309.2</v>
      </c>
      <c r="I475" s="6">
        <v>3927.6</v>
      </c>
      <c r="J475" s="6">
        <v>2925.47</v>
      </c>
      <c r="K475" s="6">
        <v>1002.13</v>
      </c>
      <c r="L475" s="4" t="str">
        <f t="shared" si="1"/>
        <v>Jun-2025</v>
      </c>
    </row>
    <row r="476" ht="15.75" customHeight="1">
      <c r="A476" s="4" t="s">
        <v>752</v>
      </c>
      <c r="B476" s="5">
        <v>45810.0</v>
      </c>
      <c r="C476" s="4" t="s">
        <v>92</v>
      </c>
      <c r="D476" s="4" t="s">
        <v>14</v>
      </c>
      <c r="E476" s="4" t="s">
        <v>20</v>
      </c>
      <c r="F476" s="4" t="s">
        <v>661</v>
      </c>
      <c r="G476" s="4">
        <v>6.0</v>
      </c>
      <c r="H476" s="6">
        <v>465.48</v>
      </c>
      <c r="I476" s="6">
        <v>2792.88</v>
      </c>
      <c r="J476" s="6">
        <v>2356.22</v>
      </c>
      <c r="K476" s="6">
        <v>436.66</v>
      </c>
      <c r="L476" s="4" t="str">
        <f t="shared" si="1"/>
        <v>Jun-2025</v>
      </c>
    </row>
    <row r="477" ht="15.75" customHeight="1">
      <c r="A477" s="4" t="s">
        <v>753</v>
      </c>
      <c r="B477" s="5">
        <v>45811.0</v>
      </c>
      <c r="C477" s="4" t="s">
        <v>13</v>
      </c>
      <c r="D477" s="4" t="s">
        <v>14</v>
      </c>
      <c r="E477" s="4" t="s">
        <v>15</v>
      </c>
      <c r="F477" s="4" t="s">
        <v>252</v>
      </c>
      <c r="G477" s="4">
        <v>4.0</v>
      </c>
      <c r="H477" s="6">
        <v>705.91</v>
      </c>
      <c r="I477" s="6">
        <v>2823.64</v>
      </c>
      <c r="J477" s="6">
        <v>1932.19</v>
      </c>
      <c r="K477" s="6">
        <v>891.45</v>
      </c>
      <c r="L477" s="4" t="str">
        <f t="shared" si="1"/>
        <v>Jun-2025</v>
      </c>
    </row>
    <row r="478" ht="15.75" customHeight="1">
      <c r="A478" s="4" t="s">
        <v>754</v>
      </c>
      <c r="B478" s="5">
        <v>45811.0</v>
      </c>
      <c r="C478" s="4" t="s">
        <v>140</v>
      </c>
      <c r="D478" s="4" t="s">
        <v>14</v>
      </c>
      <c r="E478" s="4" t="s">
        <v>25</v>
      </c>
      <c r="F478" s="4" t="s">
        <v>171</v>
      </c>
      <c r="G478" s="4">
        <v>6.0</v>
      </c>
      <c r="H478" s="6">
        <v>1109.69</v>
      </c>
      <c r="I478" s="6">
        <v>6658.14</v>
      </c>
      <c r="J478" s="6">
        <v>4918.97</v>
      </c>
      <c r="K478" s="6">
        <v>1739.17</v>
      </c>
      <c r="L478" s="4" t="str">
        <f t="shared" si="1"/>
        <v>Jun-2025</v>
      </c>
    </row>
    <row r="479" ht="15.75" customHeight="1">
      <c r="A479" s="4" t="s">
        <v>755</v>
      </c>
      <c r="B479" s="5">
        <v>45811.0</v>
      </c>
      <c r="C479" s="4" t="s">
        <v>47</v>
      </c>
      <c r="D479" s="4" t="s">
        <v>14</v>
      </c>
      <c r="E479" s="4" t="s">
        <v>20</v>
      </c>
      <c r="F479" s="4" t="s">
        <v>492</v>
      </c>
      <c r="G479" s="4">
        <v>7.0</v>
      </c>
      <c r="H479" s="6">
        <v>1265.83</v>
      </c>
      <c r="I479" s="6">
        <v>8860.81</v>
      </c>
      <c r="J479" s="6">
        <v>6803.66</v>
      </c>
      <c r="K479" s="6">
        <v>2057.15</v>
      </c>
      <c r="L479" s="4" t="str">
        <f t="shared" si="1"/>
        <v>Jun-2025</v>
      </c>
    </row>
    <row r="480" ht="15.75" customHeight="1">
      <c r="A480" s="4" t="s">
        <v>756</v>
      </c>
      <c r="B480" s="5">
        <v>45811.0</v>
      </c>
      <c r="C480" s="4" t="s">
        <v>50</v>
      </c>
      <c r="D480" s="4" t="s">
        <v>42</v>
      </c>
      <c r="E480" s="4" t="s">
        <v>29</v>
      </c>
      <c r="F480" s="4" t="s">
        <v>459</v>
      </c>
      <c r="G480" s="4">
        <v>4.0</v>
      </c>
      <c r="H480" s="6">
        <v>1921.38</v>
      </c>
      <c r="I480" s="6">
        <v>7685.52</v>
      </c>
      <c r="J480" s="6">
        <v>6851.39</v>
      </c>
      <c r="K480" s="6">
        <v>834.13</v>
      </c>
      <c r="L480" s="4" t="str">
        <f t="shared" si="1"/>
        <v>Jun-2025</v>
      </c>
    </row>
    <row r="481" ht="15.75" customHeight="1">
      <c r="A481" s="4" t="s">
        <v>757</v>
      </c>
      <c r="B481" s="5">
        <v>45812.0</v>
      </c>
      <c r="C481" s="4" t="s">
        <v>69</v>
      </c>
      <c r="D481" s="4" t="s">
        <v>19</v>
      </c>
      <c r="E481" s="4" t="s">
        <v>29</v>
      </c>
      <c r="F481" s="4" t="s">
        <v>413</v>
      </c>
      <c r="G481" s="4">
        <v>1.0</v>
      </c>
      <c r="H481" s="6">
        <v>9395.61</v>
      </c>
      <c r="I481" s="6">
        <v>9395.61</v>
      </c>
      <c r="J481" s="6">
        <v>8219.25</v>
      </c>
      <c r="K481" s="6">
        <v>1176.36</v>
      </c>
      <c r="L481" s="4" t="str">
        <f t="shared" si="1"/>
        <v>Jun-2025</v>
      </c>
    </row>
    <row r="482" ht="15.75" customHeight="1">
      <c r="A482" s="4" t="s">
        <v>758</v>
      </c>
      <c r="B482" s="5">
        <v>45812.0</v>
      </c>
      <c r="C482" s="4" t="s">
        <v>35</v>
      </c>
      <c r="D482" s="4" t="s">
        <v>14</v>
      </c>
      <c r="E482" s="4" t="s">
        <v>15</v>
      </c>
      <c r="F482" s="4" t="s">
        <v>256</v>
      </c>
      <c r="G482" s="4">
        <v>1.0</v>
      </c>
      <c r="H482" s="6">
        <v>187.68</v>
      </c>
      <c r="I482" s="6">
        <v>187.68</v>
      </c>
      <c r="J482" s="6">
        <v>128.34</v>
      </c>
      <c r="K482" s="6">
        <v>59.34</v>
      </c>
      <c r="L482" s="4" t="str">
        <f t="shared" si="1"/>
        <v>Jun-2025</v>
      </c>
    </row>
    <row r="483" ht="15.75" customHeight="1">
      <c r="A483" s="4" t="s">
        <v>759</v>
      </c>
      <c r="B483" s="5">
        <v>45813.0</v>
      </c>
      <c r="C483" s="4" t="s">
        <v>50</v>
      </c>
      <c r="D483" s="4" t="s">
        <v>42</v>
      </c>
      <c r="E483" s="4" t="s">
        <v>29</v>
      </c>
      <c r="F483" s="4" t="s">
        <v>611</v>
      </c>
      <c r="G483" s="4">
        <v>3.0</v>
      </c>
      <c r="H483" s="6">
        <v>2991.63</v>
      </c>
      <c r="I483" s="6">
        <v>8974.89</v>
      </c>
      <c r="J483" s="6">
        <v>6990.85</v>
      </c>
      <c r="K483" s="6">
        <v>1984.04</v>
      </c>
      <c r="L483" s="4" t="str">
        <f t="shared" si="1"/>
        <v>Jun-2025</v>
      </c>
    </row>
    <row r="484" ht="15.75" customHeight="1">
      <c r="A484" s="4" t="s">
        <v>760</v>
      </c>
      <c r="B484" s="5">
        <v>45813.0</v>
      </c>
      <c r="C484" s="4" t="s">
        <v>38</v>
      </c>
      <c r="D484" s="4" t="s">
        <v>19</v>
      </c>
      <c r="E484" s="4" t="s">
        <v>25</v>
      </c>
      <c r="F484" s="4" t="s">
        <v>131</v>
      </c>
      <c r="G484" s="4">
        <v>1.0</v>
      </c>
      <c r="H484" s="6">
        <v>28714.14</v>
      </c>
      <c r="I484" s="6">
        <v>28714.14</v>
      </c>
      <c r="J484" s="6">
        <v>26199.38</v>
      </c>
      <c r="K484" s="6">
        <v>2514.76</v>
      </c>
      <c r="L484" s="4" t="str">
        <f t="shared" si="1"/>
        <v>Jun-2025</v>
      </c>
    </row>
    <row r="485" ht="15.75" customHeight="1">
      <c r="A485" s="4" t="s">
        <v>761</v>
      </c>
      <c r="B485" s="5">
        <v>45814.0</v>
      </c>
      <c r="C485" s="4" t="s">
        <v>13</v>
      </c>
      <c r="D485" s="4" t="s">
        <v>14</v>
      </c>
      <c r="E485" s="4" t="s">
        <v>25</v>
      </c>
      <c r="F485" s="4" t="s">
        <v>169</v>
      </c>
      <c r="G485" s="4">
        <v>1.0</v>
      </c>
      <c r="H485" s="6">
        <v>127.48</v>
      </c>
      <c r="I485" s="6">
        <v>127.48</v>
      </c>
      <c r="J485" s="6">
        <v>95.03</v>
      </c>
      <c r="K485" s="6">
        <v>32.45</v>
      </c>
      <c r="L485" s="4" t="str">
        <f t="shared" si="1"/>
        <v>Jun-2025</v>
      </c>
    </row>
    <row r="486" ht="15.75" customHeight="1">
      <c r="A486" s="4" t="s">
        <v>762</v>
      </c>
      <c r="B486" s="5">
        <v>45814.0</v>
      </c>
      <c r="C486" s="4" t="s">
        <v>92</v>
      </c>
      <c r="D486" s="4" t="s">
        <v>14</v>
      </c>
      <c r="E486" s="4" t="s">
        <v>29</v>
      </c>
      <c r="F486" s="4" t="s">
        <v>719</v>
      </c>
      <c r="G486" s="4">
        <v>2.0</v>
      </c>
      <c r="H486" s="6">
        <v>883.56</v>
      </c>
      <c r="I486" s="6">
        <v>1767.12</v>
      </c>
      <c r="J486" s="6">
        <v>1498.41</v>
      </c>
      <c r="K486" s="6">
        <v>268.71</v>
      </c>
      <c r="L486" s="4" t="str">
        <f t="shared" si="1"/>
        <v>Jun-2025</v>
      </c>
    </row>
    <row r="487" ht="15.75" customHeight="1">
      <c r="A487" s="4" t="s">
        <v>763</v>
      </c>
      <c r="B487" s="5">
        <v>45814.0</v>
      </c>
      <c r="C487" s="4" t="s">
        <v>92</v>
      </c>
      <c r="D487" s="4" t="s">
        <v>14</v>
      </c>
      <c r="E487" s="4" t="s">
        <v>29</v>
      </c>
      <c r="F487" s="4" t="s">
        <v>82</v>
      </c>
      <c r="G487" s="4">
        <v>4.0</v>
      </c>
      <c r="H487" s="6">
        <v>481.07</v>
      </c>
      <c r="I487" s="6">
        <v>1924.28</v>
      </c>
      <c r="J487" s="6">
        <v>1431.63</v>
      </c>
      <c r="K487" s="6">
        <v>492.65</v>
      </c>
      <c r="L487" s="4" t="str">
        <f t="shared" si="1"/>
        <v>Jun-2025</v>
      </c>
    </row>
    <row r="488" ht="15.75" customHeight="1">
      <c r="A488" s="4" t="s">
        <v>764</v>
      </c>
      <c r="B488" s="5">
        <v>45814.0</v>
      </c>
      <c r="C488" s="4" t="s">
        <v>32</v>
      </c>
      <c r="D488" s="4" t="s">
        <v>19</v>
      </c>
      <c r="E488" s="4" t="s">
        <v>25</v>
      </c>
      <c r="F488" s="4" t="s">
        <v>765</v>
      </c>
      <c r="G488" s="4">
        <v>3.0</v>
      </c>
      <c r="H488" s="6">
        <v>53953.5</v>
      </c>
      <c r="I488" s="6">
        <v>161860.5</v>
      </c>
      <c r="J488" s="6">
        <v>144555.83</v>
      </c>
      <c r="K488" s="6">
        <v>17304.67</v>
      </c>
      <c r="L488" s="4" t="str">
        <f t="shared" si="1"/>
        <v>Jun-2025</v>
      </c>
    </row>
    <row r="489" ht="15.75" customHeight="1">
      <c r="A489" s="4" t="s">
        <v>766</v>
      </c>
      <c r="B489" s="5">
        <v>45814.0</v>
      </c>
      <c r="C489" s="4" t="s">
        <v>32</v>
      </c>
      <c r="D489" s="4" t="s">
        <v>19</v>
      </c>
      <c r="E489" s="4" t="s">
        <v>25</v>
      </c>
      <c r="F489" s="4" t="s">
        <v>207</v>
      </c>
      <c r="G489" s="4">
        <v>3.0</v>
      </c>
      <c r="H489" s="6">
        <v>20484.15</v>
      </c>
      <c r="I489" s="6">
        <v>61452.45</v>
      </c>
      <c r="J489" s="6">
        <v>49870.24</v>
      </c>
      <c r="K489" s="6">
        <v>11582.21</v>
      </c>
      <c r="L489" s="4" t="str">
        <f t="shared" si="1"/>
        <v>Jun-2025</v>
      </c>
    </row>
    <row r="490" ht="15.75" customHeight="1">
      <c r="A490" s="4" t="s">
        <v>767</v>
      </c>
      <c r="B490" s="5">
        <v>45815.0</v>
      </c>
      <c r="C490" s="4" t="s">
        <v>75</v>
      </c>
      <c r="D490" s="4" t="s">
        <v>24</v>
      </c>
      <c r="E490" s="4" t="s">
        <v>25</v>
      </c>
      <c r="F490" s="4" t="s">
        <v>323</v>
      </c>
      <c r="G490" s="4">
        <v>3.0</v>
      </c>
      <c r="H490" s="6">
        <v>17921.07</v>
      </c>
      <c r="I490" s="6">
        <v>53763.21</v>
      </c>
      <c r="J490" s="6">
        <v>42826.09</v>
      </c>
      <c r="K490" s="6">
        <v>10937.12</v>
      </c>
      <c r="L490" s="4" t="str">
        <f t="shared" si="1"/>
        <v>Jun-2025</v>
      </c>
    </row>
    <row r="491" ht="15.75" customHeight="1">
      <c r="A491" s="4" t="s">
        <v>768</v>
      </c>
      <c r="B491" s="5">
        <v>45815.0</v>
      </c>
      <c r="C491" s="4" t="s">
        <v>18</v>
      </c>
      <c r="D491" s="4" t="s">
        <v>19</v>
      </c>
      <c r="E491" s="4" t="s">
        <v>29</v>
      </c>
      <c r="F491" s="4" t="s">
        <v>171</v>
      </c>
      <c r="G491" s="4">
        <v>4.0</v>
      </c>
      <c r="H491" s="6">
        <v>12144.22</v>
      </c>
      <c r="I491" s="6">
        <v>48576.88</v>
      </c>
      <c r="J491" s="6">
        <v>44305.02</v>
      </c>
      <c r="K491" s="6">
        <v>4271.86</v>
      </c>
      <c r="L491" s="4" t="str">
        <f t="shared" si="1"/>
        <v>Jun-2025</v>
      </c>
    </row>
    <row r="492" ht="15.75" customHeight="1">
      <c r="A492" s="4" t="s">
        <v>769</v>
      </c>
      <c r="B492" s="5">
        <v>45815.0</v>
      </c>
      <c r="C492" s="4" t="s">
        <v>18</v>
      </c>
      <c r="D492" s="4" t="s">
        <v>19</v>
      </c>
      <c r="E492" s="4" t="s">
        <v>15</v>
      </c>
      <c r="F492" s="4" t="s">
        <v>518</v>
      </c>
      <c r="G492" s="4">
        <v>7.0</v>
      </c>
      <c r="H492" s="6">
        <v>2682.56</v>
      </c>
      <c r="I492" s="6">
        <v>18777.92</v>
      </c>
      <c r="J492" s="6">
        <v>15585.33</v>
      </c>
      <c r="K492" s="6">
        <v>3192.59</v>
      </c>
      <c r="L492" s="4" t="str">
        <f t="shared" si="1"/>
        <v>Jun-2025</v>
      </c>
    </row>
    <row r="493" ht="15.75" customHeight="1">
      <c r="A493" s="4" t="s">
        <v>770</v>
      </c>
      <c r="B493" s="5">
        <v>45815.0</v>
      </c>
      <c r="C493" s="4" t="s">
        <v>18</v>
      </c>
      <c r="D493" s="4" t="s">
        <v>19</v>
      </c>
      <c r="E493" s="4" t="s">
        <v>25</v>
      </c>
      <c r="F493" s="4" t="s">
        <v>771</v>
      </c>
      <c r="G493" s="4">
        <v>4.0</v>
      </c>
      <c r="H493" s="6">
        <v>26589.81</v>
      </c>
      <c r="I493" s="6">
        <v>106359.24</v>
      </c>
      <c r="J493" s="6">
        <v>89364.16</v>
      </c>
      <c r="K493" s="6">
        <v>16995.08</v>
      </c>
      <c r="L493" s="4" t="str">
        <f t="shared" si="1"/>
        <v>Jun-2025</v>
      </c>
    </row>
    <row r="494" ht="15.75" customHeight="1">
      <c r="A494" s="4" t="s">
        <v>772</v>
      </c>
      <c r="B494" s="5">
        <v>45815.0</v>
      </c>
      <c r="C494" s="4" t="s">
        <v>109</v>
      </c>
      <c r="D494" s="4" t="s">
        <v>42</v>
      </c>
      <c r="E494" s="4" t="s">
        <v>29</v>
      </c>
      <c r="F494" s="4" t="s">
        <v>123</v>
      </c>
      <c r="G494" s="4">
        <v>2.0</v>
      </c>
      <c r="H494" s="6">
        <v>4673.18</v>
      </c>
      <c r="I494" s="6">
        <v>9346.36</v>
      </c>
      <c r="J494" s="6">
        <v>7566.33</v>
      </c>
      <c r="K494" s="6">
        <v>1780.03</v>
      </c>
      <c r="L494" s="4" t="str">
        <f t="shared" si="1"/>
        <v>Jun-2025</v>
      </c>
    </row>
    <row r="495" ht="15.75" customHeight="1">
      <c r="A495" s="4" t="s">
        <v>773</v>
      </c>
      <c r="B495" s="5">
        <v>45815.0</v>
      </c>
      <c r="C495" s="4" t="s">
        <v>38</v>
      </c>
      <c r="D495" s="4" t="s">
        <v>19</v>
      </c>
      <c r="E495" s="4" t="s">
        <v>25</v>
      </c>
      <c r="F495" s="4" t="s">
        <v>121</v>
      </c>
      <c r="G495" s="4">
        <v>3.0</v>
      </c>
      <c r="H495" s="6">
        <v>51510.84</v>
      </c>
      <c r="I495" s="6">
        <v>154532.52</v>
      </c>
      <c r="J495" s="6">
        <v>129488.17</v>
      </c>
      <c r="K495" s="6">
        <v>25044.35</v>
      </c>
      <c r="L495" s="4" t="str">
        <f t="shared" si="1"/>
        <v>Jun-2025</v>
      </c>
    </row>
    <row r="496" ht="15.75" customHeight="1">
      <c r="A496" s="4" t="s">
        <v>774</v>
      </c>
      <c r="B496" s="5">
        <v>45816.0</v>
      </c>
      <c r="C496" s="4" t="s">
        <v>47</v>
      </c>
      <c r="D496" s="4" t="s">
        <v>14</v>
      </c>
      <c r="E496" s="4" t="s">
        <v>25</v>
      </c>
      <c r="F496" s="4" t="s">
        <v>217</v>
      </c>
      <c r="G496" s="4">
        <v>4.0</v>
      </c>
      <c r="H496" s="6">
        <v>224.82</v>
      </c>
      <c r="I496" s="6">
        <v>899.28</v>
      </c>
      <c r="J496" s="6">
        <v>712.43</v>
      </c>
      <c r="K496" s="6">
        <v>186.85</v>
      </c>
      <c r="L496" s="4" t="str">
        <f t="shared" si="1"/>
        <v>Jun-2025</v>
      </c>
    </row>
    <row r="497" ht="15.75" customHeight="1">
      <c r="A497" s="4" t="s">
        <v>775</v>
      </c>
      <c r="B497" s="5">
        <v>45816.0</v>
      </c>
      <c r="C497" s="4" t="s">
        <v>41</v>
      </c>
      <c r="D497" s="4" t="s">
        <v>42</v>
      </c>
      <c r="E497" s="4" t="s">
        <v>29</v>
      </c>
      <c r="F497" s="4" t="s">
        <v>153</v>
      </c>
      <c r="G497" s="4">
        <v>6.0</v>
      </c>
      <c r="H497" s="6">
        <v>4257.58</v>
      </c>
      <c r="I497" s="6">
        <v>25545.48</v>
      </c>
      <c r="J497" s="6">
        <v>22126.23</v>
      </c>
      <c r="K497" s="6">
        <v>3419.25</v>
      </c>
      <c r="L497" s="4" t="str">
        <f t="shared" si="1"/>
        <v>Jun-2025</v>
      </c>
    </row>
    <row r="498" ht="15.75" customHeight="1">
      <c r="A498" s="4" t="s">
        <v>776</v>
      </c>
      <c r="B498" s="5">
        <v>45816.0</v>
      </c>
      <c r="C498" s="4" t="s">
        <v>140</v>
      </c>
      <c r="D498" s="4" t="s">
        <v>14</v>
      </c>
      <c r="E498" s="4" t="s">
        <v>29</v>
      </c>
      <c r="F498" s="4" t="s">
        <v>80</v>
      </c>
      <c r="G498" s="4">
        <v>4.0</v>
      </c>
      <c r="H498" s="6">
        <v>993.24</v>
      </c>
      <c r="I498" s="6">
        <v>3972.96</v>
      </c>
      <c r="J498" s="6">
        <v>3081.07</v>
      </c>
      <c r="K498" s="6">
        <v>891.89</v>
      </c>
      <c r="L498" s="4" t="str">
        <f t="shared" si="1"/>
        <v>Jun-2025</v>
      </c>
    </row>
    <row r="499" ht="15.75" customHeight="1">
      <c r="A499" s="4" t="s">
        <v>777</v>
      </c>
      <c r="B499" s="5">
        <v>45816.0</v>
      </c>
      <c r="C499" s="4" t="s">
        <v>41</v>
      </c>
      <c r="D499" s="4" t="s">
        <v>42</v>
      </c>
      <c r="E499" s="4" t="s">
        <v>20</v>
      </c>
      <c r="F499" s="4" t="s">
        <v>375</v>
      </c>
      <c r="G499" s="4">
        <v>1.0</v>
      </c>
      <c r="H499" s="6">
        <v>1163.03</v>
      </c>
      <c r="I499" s="6">
        <v>1163.03</v>
      </c>
      <c r="J499" s="6">
        <v>1020.16</v>
      </c>
      <c r="K499" s="6">
        <v>142.87</v>
      </c>
      <c r="L499" s="4" t="str">
        <f t="shared" si="1"/>
        <v>Jun-2025</v>
      </c>
    </row>
    <row r="500" ht="15.75" customHeight="1">
      <c r="A500" s="4" t="s">
        <v>778</v>
      </c>
      <c r="B500" s="5">
        <v>45816.0</v>
      </c>
      <c r="C500" s="4" t="s">
        <v>38</v>
      </c>
      <c r="D500" s="4" t="s">
        <v>19</v>
      </c>
      <c r="E500" s="4" t="s">
        <v>29</v>
      </c>
      <c r="F500" s="4" t="s">
        <v>51</v>
      </c>
      <c r="G500" s="4">
        <v>5.0</v>
      </c>
      <c r="H500" s="6">
        <v>62868.19</v>
      </c>
      <c r="I500" s="6">
        <v>314340.95</v>
      </c>
      <c r="J500" s="6">
        <v>287299.54</v>
      </c>
      <c r="K500" s="6">
        <v>27041.41</v>
      </c>
      <c r="L500" s="4" t="str">
        <f t="shared" si="1"/>
        <v>Jun-2025</v>
      </c>
    </row>
    <row r="501" ht="15.75" customHeight="1">
      <c r="A501" s="4" t="s">
        <v>779</v>
      </c>
      <c r="B501" s="5">
        <v>45817.0</v>
      </c>
      <c r="C501" s="4" t="s">
        <v>109</v>
      </c>
      <c r="D501" s="4" t="s">
        <v>42</v>
      </c>
      <c r="E501" s="4" t="s">
        <v>25</v>
      </c>
      <c r="F501" s="4" t="s">
        <v>780</v>
      </c>
      <c r="G501" s="4">
        <v>7.0</v>
      </c>
      <c r="H501" s="6">
        <v>2940.21</v>
      </c>
      <c r="I501" s="6">
        <v>20581.47</v>
      </c>
      <c r="J501" s="6">
        <v>17958.86</v>
      </c>
      <c r="K501" s="6">
        <v>2622.61</v>
      </c>
      <c r="L501" s="4" t="str">
        <f t="shared" si="1"/>
        <v>Jun-2025</v>
      </c>
    </row>
    <row r="502" ht="15.75" customHeight="1">
      <c r="A502" s="4" t="s">
        <v>781</v>
      </c>
      <c r="B502" s="5">
        <v>45817.0</v>
      </c>
      <c r="C502" s="4" t="s">
        <v>18</v>
      </c>
      <c r="D502" s="4" t="s">
        <v>19</v>
      </c>
      <c r="E502" s="4" t="s">
        <v>25</v>
      </c>
      <c r="F502" s="4" t="s">
        <v>143</v>
      </c>
      <c r="G502" s="4">
        <v>6.0</v>
      </c>
      <c r="H502" s="6">
        <v>68225.64</v>
      </c>
      <c r="I502" s="6">
        <v>409353.84</v>
      </c>
      <c r="J502" s="6">
        <v>376550.51</v>
      </c>
      <c r="K502" s="6">
        <v>32803.33</v>
      </c>
      <c r="L502" s="4" t="str">
        <f t="shared" si="1"/>
        <v>Jun-2025</v>
      </c>
    </row>
    <row r="503" ht="15.75" customHeight="1">
      <c r="A503" s="4" t="s">
        <v>782</v>
      </c>
      <c r="B503" s="5">
        <v>45817.0</v>
      </c>
      <c r="C503" s="4" t="s">
        <v>23</v>
      </c>
      <c r="D503" s="4" t="s">
        <v>24</v>
      </c>
      <c r="E503" s="4" t="s">
        <v>20</v>
      </c>
      <c r="F503" s="4" t="s">
        <v>475</v>
      </c>
      <c r="G503" s="4">
        <v>2.0</v>
      </c>
      <c r="H503" s="6">
        <v>4572.59</v>
      </c>
      <c r="I503" s="6">
        <v>9145.18</v>
      </c>
      <c r="J503" s="6">
        <v>7542.82</v>
      </c>
      <c r="K503" s="6">
        <v>1602.36</v>
      </c>
      <c r="L503" s="4" t="str">
        <f t="shared" si="1"/>
        <v>Jun-2025</v>
      </c>
    </row>
    <row r="504" ht="15.75" customHeight="1">
      <c r="A504" s="4" t="s">
        <v>783</v>
      </c>
      <c r="B504" s="5">
        <v>45817.0</v>
      </c>
      <c r="C504" s="4" t="s">
        <v>61</v>
      </c>
      <c r="D504" s="4" t="s">
        <v>19</v>
      </c>
      <c r="E504" s="4" t="s">
        <v>25</v>
      </c>
      <c r="F504" s="4" t="s">
        <v>223</v>
      </c>
      <c r="G504" s="4">
        <v>3.0</v>
      </c>
      <c r="H504" s="6">
        <v>3699.64</v>
      </c>
      <c r="I504" s="6">
        <v>11098.92</v>
      </c>
      <c r="J504" s="6">
        <v>9360.55</v>
      </c>
      <c r="K504" s="6">
        <v>1738.37</v>
      </c>
      <c r="L504" s="4" t="str">
        <f t="shared" si="1"/>
        <v>Jun-2025</v>
      </c>
    </row>
    <row r="505" ht="15.75" customHeight="1">
      <c r="A505" s="4" t="s">
        <v>784</v>
      </c>
      <c r="B505" s="5">
        <v>45818.0</v>
      </c>
      <c r="C505" s="4" t="s">
        <v>72</v>
      </c>
      <c r="D505" s="4" t="s">
        <v>24</v>
      </c>
      <c r="E505" s="4" t="s">
        <v>29</v>
      </c>
      <c r="F505" s="4" t="s">
        <v>167</v>
      </c>
      <c r="G505" s="4">
        <v>4.0</v>
      </c>
      <c r="H505" s="6">
        <v>4581.59</v>
      </c>
      <c r="I505" s="6">
        <v>18326.36</v>
      </c>
      <c r="J505" s="6">
        <v>13307.57</v>
      </c>
      <c r="K505" s="6">
        <v>5018.79</v>
      </c>
      <c r="L505" s="4" t="str">
        <f t="shared" si="1"/>
        <v>Jun-2025</v>
      </c>
    </row>
    <row r="506" ht="15.75" customHeight="1">
      <c r="A506" s="4" t="s">
        <v>785</v>
      </c>
      <c r="B506" s="5">
        <v>45818.0</v>
      </c>
      <c r="C506" s="4" t="s">
        <v>47</v>
      </c>
      <c r="D506" s="4" t="s">
        <v>14</v>
      </c>
      <c r="E506" s="4" t="s">
        <v>29</v>
      </c>
      <c r="F506" s="4" t="s">
        <v>171</v>
      </c>
      <c r="G506" s="4">
        <v>6.0</v>
      </c>
      <c r="H506" s="6">
        <v>497.28</v>
      </c>
      <c r="I506" s="6">
        <v>2983.68</v>
      </c>
      <c r="J506" s="6">
        <v>2181.66</v>
      </c>
      <c r="K506" s="6">
        <v>802.02</v>
      </c>
      <c r="L506" s="4" t="str">
        <f t="shared" si="1"/>
        <v>Jun-2025</v>
      </c>
    </row>
    <row r="507" ht="15.75" customHeight="1">
      <c r="A507" s="4" t="s">
        <v>786</v>
      </c>
      <c r="B507" s="5">
        <v>45819.0</v>
      </c>
      <c r="C507" s="4" t="s">
        <v>50</v>
      </c>
      <c r="D507" s="4" t="s">
        <v>42</v>
      </c>
      <c r="E507" s="4" t="s">
        <v>15</v>
      </c>
      <c r="F507" s="4" t="s">
        <v>328</v>
      </c>
      <c r="G507" s="4">
        <v>4.0</v>
      </c>
      <c r="H507" s="6">
        <v>958.84</v>
      </c>
      <c r="I507" s="6">
        <v>3835.36</v>
      </c>
      <c r="J507" s="6">
        <v>2916.49</v>
      </c>
      <c r="K507" s="6">
        <v>918.87</v>
      </c>
      <c r="L507" s="4" t="str">
        <f t="shared" si="1"/>
        <v>Jun-2025</v>
      </c>
    </row>
    <row r="508" ht="15.75" customHeight="1">
      <c r="A508" s="4" t="s">
        <v>787</v>
      </c>
      <c r="B508" s="5">
        <v>45819.0</v>
      </c>
      <c r="C508" s="4" t="s">
        <v>61</v>
      </c>
      <c r="D508" s="4" t="s">
        <v>19</v>
      </c>
      <c r="E508" s="4" t="s">
        <v>29</v>
      </c>
      <c r="F508" s="4" t="s">
        <v>373</v>
      </c>
      <c r="G508" s="4">
        <v>6.0</v>
      </c>
      <c r="H508" s="6">
        <v>4526.77</v>
      </c>
      <c r="I508" s="6">
        <v>27160.62</v>
      </c>
      <c r="J508" s="6">
        <v>24750.16</v>
      </c>
      <c r="K508" s="6">
        <v>2410.46</v>
      </c>
      <c r="L508" s="4" t="str">
        <f t="shared" si="1"/>
        <v>Jun-2025</v>
      </c>
    </row>
    <row r="509" ht="15.75" customHeight="1">
      <c r="A509" s="4" t="s">
        <v>788</v>
      </c>
      <c r="B509" s="5">
        <v>45819.0</v>
      </c>
      <c r="C509" s="4" t="s">
        <v>47</v>
      </c>
      <c r="D509" s="4" t="s">
        <v>14</v>
      </c>
      <c r="E509" s="4" t="s">
        <v>25</v>
      </c>
      <c r="F509" s="4" t="s">
        <v>789</v>
      </c>
      <c r="G509" s="4">
        <v>2.0</v>
      </c>
      <c r="H509" s="6">
        <v>240.55</v>
      </c>
      <c r="I509" s="6">
        <v>481.1</v>
      </c>
      <c r="J509" s="6">
        <v>350.2</v>
      </c>
      <c r="K509" s="6">
        <v>130.9</v>
      </c>
      <c r="L509" s="4" t="str">
        <f t="shared" si="1"/>
        <v>Jun-2025</v>
      </c>
    </row>
    <row r="510" ht="15.75" customHeight="1">
      <c r="A510" s="4" t="s">
        <v>790</v>
      </c>
      <c r="B510" s="5">
        <v>45820.0</v>
      </c>
      <c r="C510" s="4" t="s">
        <v>61</v>
      </c>
      <c r="D510" s="4" t="s">
        <v>19</v>
      </c>
      <c r="E510" s="4" t="s">
        <v>15</v>
      </c>
      <c r="F510" s="4" t="s">
        <v>541</v>
      </c>
      <c r="G510" s="4">
        <v>6.0</v>
      </c>
      <c r="H510" s="6">
        <v>38319.7</v>
      </c>
      <c r="I510" s="6">
        <v>229918.2</v>
      </c>
      <c r="J510" s="6">
        <v>209396.32</v>
      </c>
      <c r="K510" s="6">
        <v>20521.88</v>
      </c>
      <c r="L510" s="4" t="str">
        <f t="shared" si="1"/>
        <v>Jun-2025</v>
      </c>
    </row>
    <row r="511" ht="15.75" customHeight="1">
      <c r="A511" s="4" t="s">
        <v>791</v>
      </c>
      <c r="B511" s="5">
        <v>45820.0</v>
      </c>
      <c r="C511" s="4" t="s">
        <v>109</v>
      </c>
      <c r="D511" s="4" t="s">
        <v>42</v>
      </c>
      <c r="E511" s="4" t="s">
        <v>29</v>
      </c>
      <c r="F511" s="4" t="s">
        <v>291</v>
      </c>
      <c r="G511" s="4">
        <v>6.0</v>
      </c>
      <c r="H511" s="6">
        <v>1321.0</v>
      </c>
      <c r="I511" s="6">
        <v>7926.0</v>
      </c>
      <c r="J511" s="6">
        <v>6314.99</v>
      </c>
      <c r="K511" s="6">
        <v>1611.01</v>
      </c>
      <c r="L511" s="4" t="str">
        <f t="shared" si="1"/>
        <v>Jun-2025</v>
      </c>
    </row>
    <row r="512" ht="15.75" customHeight="1">
      <c r="A512" s="4" t="s">
        <v>792</v>
      </c>
      <c r="B512" s="5">
        <v>45820.0</v>
      </c>
      <c r="C512" s="4" t="s">
        <v>69</v>
      </c>
      <c r="D512" s="4" t="s">
        <v>19</v>
      </c>
      <c r="E512" s="4" t="s">
        <v>20</v>
      </c>
      <c r="F512" s="4" t="s">
        <v>371</v>
      </c>
      <c r="G512" s="4">
        <v>7.0</v>
      </c>
      <c r="H512" s="6">
        <v>43622.5</v>
      </c>
      <c r="I512" s="6">
        <v>305357.5</v>
      </c>
      <c r="J512" s="6">
        <v>267842.95</v>
      </c>
      <c r="K512" s="6">
        <v>37514.55</v>
      </c>
      <c r="L512" s="4" t="str">
        <f t="shared" si="1"/>
        <v>Jun-2025</v>
      </c>
    </row>
    <row r="513" ht="15.75" customHeight="1">
      <c r="A513" s="4" t="s">
        <v>793</v>
      </c>
      <c r="B513" s="5">
        <v>45820.0</v>
      </c>
      <c r="C513" s="4" t="s">
        <v>160</v>
      </c>
      <c r="D513" s="4" t="s">
        <v>42</v>
      </c>
      <c r="E513" s="4" t="s">
        <v>20</v>
      </c>
      <c r="F513" s="4" t="s">
        <v>418</v>
      </c>
      <c r="G513" s="4">
        <v>1.0</v>
      </c>
      <c r="H513" s="6">
        <v>3750.42</v>
      </c>
      <c r="I513" s="6">
        <v>3750.42</v>
      </c>
      <c r="J513" s="6">
        <v>3050.64</v>
      </c>
      <c r="K513" s="6">
        <v>699.78</v>
      </c>
      <c r="L513" s="4" t="str">
        <f t="shared" si="1"/>
        <v>Jun-2025</v>
      </c>
    </row>
    <row r="514" ht="15.75" customHeight="1">
      <c r="A514" s="4" t="s">
        <v>794</v>
      </c>
      <c r="B514" s="5">
        <v>45821.0</v>
      </c>
      <c r="C514" s="4" t="s">
        <v>13</v>
      </c>
      <c r="D514" s="4" t="s">
        <v>14</v>
      </c>
      <c r="E514" s="4" t="s">
        <v>15</v>
      </c>
      <c r="F514" s="4" t="s">
        <v>795</v>
      </c>
      <c r="G514" s="4">
        <v>6.0</v>
      </c>
      <c r="H514" s="6">
        <v>478.94</v>
      </c>
      <c r="I514" s="6">
        <v>2873.64</v>
      </c>
      <c r="J514" s="6">
        <v>2336.15</v>
      </c>
      <c r="K514" s="6">
        <v>537.49</v>
      </c>
      <c r="L514" s="4" t="str">
        <f t="shared" si="1"/>
        <v>Jun-2025</v>
      </c>
    </row>
    <row r="515" ht="15.75" customHeight="1">
      <c r="A515" s="4" t="s">
        <v>796</v>
      </c>
      <c r="B515" s="5">
        <v>45821.0</v>
      </c>
      <c r="C515" s="4" t="s">
        <v>109</v>
      </c>
      <c r="D515" s="4" t="s">
        <v>42</v>
      </c>
      <c r="E515" s="4" t="s">
        <v>25</v>
      </c>
      <c r="F515" s="4" t="s">
        <v>661</v>
      </c>
      <c r="G515" s="4">
        <v>6.0</v>
      </c>
      <c r="H515" s="6">
        <v>914.18</v>
      </c>
      <c r="I515" s="6">
        <v>5485.08</v>
      </c>
      <c r="J515" s="6">
        <v>4241.38</v>
      </c>
      <c r="K515" s="6">
        <v>1243.7</v>
      </c>
      <c r="L515" s="4" t="str">
        <f t="shared" si="1"/>
        <v>Jun-2025</v>
      </c>
    </row>
    <row r="516" ht="15.75" customHeight="1">
      <c r="A516" s="4" t="s">
        <v>797</v>
      </c>
      <c r="B516" s="5">
        <v>45821.0</v>
      </c>
      <c r="C516" s="4" t="s">
        <v>32</v>
      </c>
      <c r="D516" s="4" t="s">
        <v>19</v>
      </c>
      <c r="E516" s="4" t="s">
        <v>25</v>
      </c>
      <c r="F516" s="4" t="s">
        <v>141</v>
      </c>
      <c r="G516" s="4">
        <v>7.0</v>
      </c>
      <c r="H516" s="6">
        <v>67742.82</v>
      </c>
      <c r="I516" s="6">
        <v>474199.74</v>
      </c>
      <c r="J516" s="6">
        <v>435586.35</v>
      </c>
      <c r="K516" s="6">
        <v>38613.39</v>
      </c>
      <c r="L516" s="4" t="str">
        <f t="shared" si="1"/>
        <v>Jun-2025</v>
      </c>
    </row>
    <row r="517" ht="15.75" customHeight="1">
      <c r="A517" s="4" t="s">
        <v>798</v>
      </c>
      <c r="B517" s="5">
        <v>45821.0</v>
      </c>
      <c r="C517" s="4" t="s">
        <v>140</v>
      </c>
      <c r="D517" s="4" t="s">
        <v>14</v>
      </c>
      <c r="E517" s="2" t="s">
        <v>258</v>
      </c>
      <c r="F517" s="4" t="s">
        <v>131</v>
      </c>
      <c r="G517" s="4">
        <v>6.0</v>
      </c>
      <c r="H517" s="6">
        <v>116.88</v>
      </c>
      <c r="I517" s="6">
        <v>701.28</v>
      </c>
      <c r="J517" s="6">
        <v>497.79</v>
      </c>
      <c r="K517" s="6">
        <v>203.49</v>
      </c>
      <c r="L517" s="4" t="str">
        <f t="shared" si="1"/>
        <v>Jun-2025</v>
      </c>
    </row>
    <row r="518" ht="15.75" customHeight="1">
      <c r="A518" s="4" t="s">
        <v>799</v>
      </c>
      <c r="B518" s="5">
        <v>45821.0</v>
      </c>
      <c r="C518" s="4" t="s">
        <v>180</v>
      </c>
      <c r="D518" s="4" t="s">
        <v>19</v>
      </c>
      <c r="E518" s="4" t="s">
        <v>20</v>
      </c>
      <c r="F518" s="4" t="s">
        <v>452</v>
      </c>
      <c r="G518" s="4">
        <v>2.0</v>
      </c>
      <c r="H518" s="6">
        <v>52590.89</v>
      </c>
      <c r="I518" s="6">
        <v>105181.78</v>
      </c>
      <c r="J518" s="6">
        <v>86792.72</v>
      </c>
      <c r="K518" s="6">
        <v>18389.06</v>
      </c>
      <c r="L518" s="4" t="str">
        <f t="shared" si="1"/>
        <v>Jun-2025</v>
      </c>
    </row>
    <row r="519" ht="15.75" customHeight="1">
      <c r="A519" s="4" t="s">
        <v>800</v>
      </c>
      <c r="B519" s="5">
        <v>45822.0</v>
      </c>
      <c r="C519" s="4" t="s">
        <v>69</v>
      </c>
      <c r="D519" s="4" t="s">
        <v>19</v>
      </c>
      <c r="E519" s="4" t="s">
        <v>25</v>
      </c>
      <c r="F519" s="4" t="s">
        <v>76</v>
      </c>
      <c r="G519" s="4">
        <v>1.0</v>
      </c>
      <c r="H519" s="6">
        <v>72353.86</v>
      </c>
      <c r="I519" s="6">
        <v>72353.86</v>
      </c>
      <c r="J519" s="6">
        <v>63057.14</v>
      </c>
      <c r="K519" s="6">
        <v>9296.72</v>
      </c>
      <c r="L519" s="4" t="str">
        <f t="shared" si="1"/>
        <v>Jun-2025</v>
      </c>
    </row>
    <row r="520" ht="15.75" customHeight="1">
      <c r="A520" s="4" t="s">
        <v>801</v>
      </c>
      <c r="B520" s="5">
        <v>45822.0</v>
      </c>
      <c r="C520" s="4" t="s">
        <v>160</v>
      </c>
      <c r="D520" s="4" t="s">
        <v>42</v>
      </c>
      <c r="E520" s="4" t="s">
        <v>25</v>
      </c>
      <c r="F520" s="4" t="s">
        <v>771</v>
      </c>
      <c r="G520" s="4">
        <v>6.0</v>
      </c>
      <c r="H520" s="6">
        <v>2575.16</v>
      </c>
      <c r="I520" s="6">
        <v>15450.96</v>
      </c>
      <c r="J520" s="6">
        <v>13571.11</v>
      </c>
      <c r="K520" s="6">
        <v>1879.85</v>
      </c>
      <c r="L520" s="4" t="str">
        <f t="shared" si="1"/>
        <v>Jun-2025</v>
      </c>
    </row>
    <row r="521" ht="15.75" customHeight="1">
      <c r="A521" s="4" t="s">
        <v>802</v>
      </c>
      <c r="B521" s="5">
        <v>45822.0</v>
      </c>
      <c r="C521" s="4" t="s">
        <v>18</v>
      </c>
      <c r="D521" s="4" t="s">
        <v>19</v>
      </c>
      <c r="E521" s="4" t="s">
        <v>15</v>
      </c>
      <c r="F521" s="4" t="s">
        <v>541</v>
      </c>
      <c r="G521" s="4">
        <v>4.0</v>
      </c>
      <c r="H521" s="6">
        <v>2444.02</v>
      </c>
      <c r="I521" s="6">
        <v>9776.08</v>
      </c>
      <c r="J521" s="6">
        <v>8405.42</v>
      </c>
      <c r="K521" s="6">
        <v>1370.66</v>
      </c>
      <c r="L521" s="4" t="str">
        <f t="shared" si="1"/>
        <v>Jun-2025</v>
      </c>
    </row>
    <row r="522" ht="15.75" customHeight="1">
      <c r="A522" s="4" t="s">
        <v>803</v>
      </c>
      <c r="B522" s="5">
        <v>45822.0</v>
      </c>
      <c r="C522" s="4" t="s">
        <v>41</v>
      </c>
      <c r="D522" s="4" t="s">
        <v>42</v>
      </c>
      <c r="E522" s="4" t="s">
        <v>20</v>
      </c>
      <c r="F522" s="4" t="s">
        <v>33</v>
      </c>
      <c r="G522" s="4">
        <v>6.0</v>
      </c>
      <c r="H522" s="6">
        <v>1657.86</v>
      </c>
      <c r="I522" s="6">
        <v>9947.16</v>
      </c>
      <c r="J522" s="6">
        <v>8292.72</v>
      </c>
      <c r="K522" s="6">
        <v>1654.44</v>
      </c>
      <c r="L522" s="4" t="str">
        <f t="shared" si="1"/>
        <v>Jun-2025</v>
      </c>
    </row>
    <row r="523" ht="15.75" customHeight="1">
      <c r="A523" s="4" t="s">
        <v>804</v>
      </c>
      <c r="B523" s="5">
        <v>45822.0</v>
      </c>
      <c r="C523" s="4" t="s">
        <v>160</v>
      </c>
      <c r="D523" s="4" t="s">
        <v>42</v>
      </c>
      <c r="E523" s="4" t="s">
        <v>29</v>
      </c>
      <c r="F523" s="4" t="s">
        <v>546</v>
      </c>
      <c r="G523" s="4">
        <v>2.0</v>
      </c>
      <c r="H523" s="6">
        <v>2529.66</v>
      </c>
      <c r="I523" s="6">
        <v>5059.32</v>
      </c>
      <c r="J523" s="6">
        <v>4284.81</v>
      </c>
      <c r="K523" s="6">
        <v>774.51</v>
      </c>
      <c r="L523" s="4" t="str">
        <f t="shared" si="1"/>
        <v>Jun-2025</v>
      </c>
    </row>
    <row r="524" ht="15.75" customHeight="1">
      <c r="A524" s="4" t="s">
        <v>805</v>
      </c>
      <c r="B524" s="5">
        <v>45823.0</v>
      </c>
      <c r="C524" s="4" t="s">
        <v>180</v>
      </c>
      <c r="D524" s="4" t="s">
        <v>19</v>
      </c>
      <c r="E524" s="4" t="s">
        <v>20</v>
      </c>
      <c r="F524" s="4" t="s">
        <v>735</v>
      </c>
      <c r="G524" s="4">
        <v>7.0</v>
      </c>
      <c r="H524" s="6">
        <v>29462.55</v>
      </c>
      <c r="I524" s="6">
        <v>206237.85</v>
      </c>
      <c r="J524" s="6">
        <v>180990.88</v>
      </c>
      <c r="K524" s="6">
        <v>25246.97</v>
      </c>
      <c r="L524" s="4" t="str">
        <f t="shared" si="1"/>
        <v>Jun-2025</v>
      </c>
    </row>
    <row r="525" ht="15.75" customHeight="1">
      <c r="A525" s="4" t="s">
        <v>806</v>
      </c>
      <c r="B525" s="5">
        <v>45823.0</v>
      </c>
      <c r="C525" s="4" t="s">
        <v>13</v>
      </c>
      <c r="D525" s="4" t="s">
        <v>14</v>
      </c>
      <c r="E525" s="4" t="s">
        <v>29</v>
      </c>
      <c r="F525" s="4" t="s">
        <v>461</v>
      </c>
      <c r="G525" s="4">
        <v>2.0</v>
      </c>
      <c r="H525" s="6">
        <v>910.74</v>
      </c>
      <c r="I525" s="6">
        <v>1821.48</v>
      </c>
      <c r="J525" s="6">
        <v>1244.78</v>
      </c>
      <c r="K525" s="6">
        <v>576.7</v>
      </c>
      <c r="L525" s="4" t="str">
        <f t="shared" si="1"/>
        <v>Jun-2025</v>
      </c>
    </row>
    <row r="526" ht="15.75" customHeight="1">
      <c r="A526" s="4" t="s">
        <v>807</v>
      </c>
      <c r="B526" s="5">
        <v>45824.0</v>
      </c>
      <c r="C526" s="4" t="s">
        <v>109</v>
      </c>
      <c r="D526" s="4" t="s">
        <v>42</v>
      </c>
      <c r="E526" s="4" t="s">
        <v>20</v>
      </c>
      <c r="F526" s="4" t="s">
        <v>131</v>
      </c>
      <c r="G526" s="4">
        <v>2.0</v>
      </c>
      <c r="H526" s="6">
        <v>4187.68</v>
      </c>
      <c r="I526" s="6">
        <v>8375.36</v>
      </c>
      <c r="J526" s="6">
        <v>7012.81</v>
      </c>
      <c r="K526" s="6">
        <v>1362.55</v>
      </c>
      <c r="L526" s="4" t="str">
        <f t="shared" si="1"/>
        <v>Jun-2025</v>
      </c>
    </row>
    <row r="527" ht="15.75" customHeight="1">
      <c r="A527" s="4" t="s">
        <v>808</v>
      </c>
      <c r="B527" s="5">
        <v>45825.0</v>
      </c>
      <c r="C527" s="4" t="s">
        <v>109</v>
      </c>
      <c r="D527" s="4" t="s">
        <v>42</v>
      </c>
      <c r="E527" s="4" t="s">
        <v>15</v>
      </c>
      <c r="F527" s="4" t="s">
        <v>575</v>
      </c>
      <c r="G527" s="4">
        <v>2.0</v>
      </c>
      <c r="H527" s="6">
        <v>4176.95</v>
      </c>
      <c r="I527" s="6">
        <v>8353.9</v>
      </c>
      <c r="J527" s="6">
        <v>7249.28</v>
      </c>
      <c r="K527" s="6">
        <v>1104.62</v>
      </c>
      <c r="L527" s="4" t="str">
        <f t="shared" si="1"/>
        <v>Jun-2025</v>
      </c>
    </row>
    <row r="528" ht="15.75" customHeight="1">
      <c r="A528" s="4" t="s">
        <v>809</v>
      </c>
      <c r="B528" s="5">
        <v>45826.0</v>
      </c>
      <c r="C528" s="4" t="s">
        <v>109</v>
      </c>
      <c r="D528" s="4" t="s">
        <v>42</v>
      </c>
      <c r="E528" s="4" t="s">
        <v>25</v>
      </c>
      <c r="F528" s="4" t="s">
        <v>162</v>
      </c>
      <c r="G528" s="4">
        <v>5.0</v>
      </c>
      <c r="H528" s="6">
        <v>3317.87</v>
      </c>
      <c r="I528" s="6">
        <v>16589.35</v>
      </c>
      <c r="J528" s="6">
        <v>14743.09</v>
      </c>
      <c r="K528" s="6">
        <v>1846.26</v>
      </c>
      <c r="L528" s="4" t="str">
        <f t="shared" si="1"/>
        <v>Jun-2025</v>
      </c>
    </row>
    <row r="529" ht="15.75" customHeight="1">
      <c r="A529" s="4" t="s">
        <v>810</v>
      </c>
      <c r="B529" s="5">
        <v>45826.0</v>
      </c>
      <c r="C529" s="4" t="s">
        <v>69</v>
      </c>
      <c r="D529" s="4" t="s">
        <v>19</v>
      </c>
      <c r="E529" s="4" t="s">
        <v>20</v>
      </c>
      <c r="F529" s="4" t="s">
        <v>552</v>
      </c>
      <c r="G529" s="4">
        <v>3.0</v>
      </c>
      <c r="H529" s="6">
        <v>37769.11</v>
      </c>
      <c r="I529" s="6">
        <v>113307.33</v>
      </c>
      <c r="J529" s="6">
        <v>98713.25</v>
      </c>
      <c r="K529" s="6">
        <v>14594.08</v>
      </c>
      <c r="L529" s="4" t="str">
        <f t="shared" si="1"/>
        <v>Jun-2025</v>
      </c>
    </row>
    <row r="530" ht="15.75" customHeight="1">
      <c r="A530" s="4" t="s">
        <v>811</v>
      </c>
      <c r="B530" s="5">
        <v>45827.0</v>
      </c>
      <c r="C530" s="4" t="s">
        <v>109</v>
      </c>
      <c r="D530" s="4" t="s">
        <v>42</v>
      </c>
      <c r="E530" s="4" t="s">
        <v>29</v>
      </c>
      <c r="F530" s="4" t="s">
        <v>238</v>
      </c>
      <c r="G530" s="4">
        <v>5.0</v>
      </c>
      <c r="H530" s="6">
        <v>2784.24</v>
      </c>
      <c r="I530" s="6">
        <v>13921.2</v>
      </c>
      <c r="J530" s="6">
        <v>12024.77</v>
      </c>
      <c r="K530" s="6">
        <v>1896.43</v>
      </c>
      <c r="L530" s="4" t="str">
        <f t="shared" si="1"/>
        <v>Jun-2025</v>
      </c>
    </row>
    <row r="531" ht="15.75" customHeight="1">
      <c r="A531" s="4" t="s">
        <v>812</v>
      </c>
      <c r="B531" s="5">
        <v>45828.0</v>
      </c>
      <c r="C531" s="4" t="s">
        <v>140</v>
      </c>
      <c r="D531" s="4" t="s">
        <v>14</v>
      </c>
      <c r="E531" s="4" t="s">
        <v>29</v>
      </c>
      <c r="F531" s="4" t="s">
        <v>795</v>
      </c>
      <c r="G531" s="4">
        <v>2.0</v>
      </c>
      <c r="H531" s="6">
        <v>802.6</v>
      </c>
      <c r="I531" s="6">
        <v>1605.2</v>
      </c>
      <c r="J531" s="6">
        <v>1153.21</v>
      </c>
      <c r="K531" s="6">
        <v>451.99</v>
      </c>
      <c r="L531" s="4" t="str">
        <f t="shared" si="1"/>
        <v>Jun-2025</v>
      </c>
    </row>
    <row r="532" ht="15.75" customHeight="1">
      <c r="A532" s="4" t="s">
        <v>813</v>
      </c>
      <c r="B532" s="5">
        <v>45829.0</v>
      </c>
      <c r="C532" s="4" t="s">
        <v>18</v>
      </c>
      <c r="D532" s="4" t="s">
        <v>19</v>
      </c>
      <c r="E532" s="4" t="s">
        <v>20</v>
      </c>
      <c r="F532" s="4" t="s">
        <v>478</v>
      </c>
      <c r="G532" s="4">
        <v>5.0</v>
      </c>
      <c r="H532" s="6">
        <v>70933.08</v>
      </c>
      <c r="I532" s="6">
        <v>354665.4</v>
      </c>
      <c r="J532" s="6">
        <v>300394.3</v>
      </c>
      <c r="K532" s="6">
        <v>54271.1</v>
      </c>
      <c r="L532" s="4" t="str">
        <f t="shared" si="1"/>
        <v>Jun-2025</v>
      </c>
    </row>
    <row r="533" ht="15.75" customHeight="1">
      <c r="A533" s="4" t="s">
        <v>814</v>
      </c>
      <c r="B533" s="5">
        <v>45829.0</v>
      </c>
      <c r="C533" s="4" t="s">
        <v>155</v>
      </c>
      <c r="D533" s="4" t="s">
        <v>24</v>
      </c>
      <c r="E533" s="4" t="s">
        <v>15</v>
      </c>
      <c r="F533" s="4" t="s">
        <v>78</v>
      </c>
      <c r="G533" s="4">
        <v>7.0</v>
      </c>
      <c r="H533" s="6">
        <v>14750.71</v>
      </c>
      <c r="I533" s="6">
        <v>103254.97</v>
      </c>
      <c r="J533" s="6">
        <v>88020.01</v>
      </c>
      <c r="K533" s="6">
        <v>15234.96</v>
      </c>
      <c r="L533" s="4" t="str">
        <f t="shared" si="1"/>
        <v>Jun-2025</v>
      </c>
    </row>
    <row r="534" ht="15.75" customHeight="1">
      <c r="A534" s="4" t="s">
        <v>815</v>
      </c>
      <c r="B534" s="5">
        <v>45830.0</v>
      </c>
      <c r="C534" s="4" t="s">
        <v>32</v>
      </c>
      <c r="D534" s="4" t="s">
        <v>19</v>
      </c>
      <c r="E534" s="4" t="s">
        <v>20</v>
      </c>
      <c r="F534" s="4" t="s">
        <v>238</v>
      </c>
      <c r="G534" s="4">
        <v>6.0</v>
      </c>
      <c r="H534" s="6">
        <v>59847.82</v>
      </c>
      <c r="I534" s="6">
        <v>359086.92</v>
      </c>
      <c r="J534" s="6">
        <v>292009.25</v>
      </c>
      <c r="K534" s="6">
        <v>67077.67</v>
      </c>
      <c r="L534" s="4" t="str">
        <f t="shared" si="1"/>
        <v>Jun-2025</v>
      </c>
    </row>
    <row r="535" ht="15.75" customHeight="1">
      <c r="A535" s="4" t="s">
        <v>816</v>
      </c>
      <c r="B535" s="5">
        <v>45830.0</v>
      </c>
      <c r="C535" s="4" t="s">
        <v>69</v>
      </c>
      <c r="D535" s="4" t="s">
        <v>19</v>
      </c>
      <c r="E535" s="4" t="s">
        <v>29</v>
      </c>
      <c r="F535" s="4" t="s">
        <v>67</v>
      </c>
      <c r="G535" s="4">
        <v>5.0</v>
      </c>
      <c r="H535" s="6">
        <v>52342.36</v>
      </c>
      <c r="I535" s="6">
        <v>261711.8</v>
      </c>
      <c r="J535" s="6">
        <v>233906.0</v>
      </c>
      <c r="K535" s="6">
        <v>27805.8</v>
      </c>
      <c r="L535" s="4" t="str">
        <f t="shared" si="1"/>
        <v>Jun-2025</v>
      </c>
    </row>
    <row r="536" ht="15.75" customHeight="1">
      <c r="A536" s="4" t="s">
        <v>817</v>
      </c>
      <c r="B536" s="5">
        <v>45830.0</v>
      </c>
      <c r="C536" s="4" t="s">
        <v>35</v>
      </c>
      <c r="D536" s="4" t="s">
        <v>14</v>
      </c>
      <c r="E536" s="4" t="s">
        <v>29</v>
      </c>
      <c r="F536" s="4" t="s">
        <v>73</v>
      </c>
      <c r="G536" s="4">
        <v>5.0</v>
      </c>
      <c r="H536" s="6">
        <v>605.55</v>
      </c>
      <c r="I536" s="6">
        <v>3027.75</v>
      </c>
      <c r="J536" s="6">
        <v>2488.0</v>
      </c>
      <c r="K536" s="6">
        <v>539.75</v>
      </c>
      <c r="L536" s="4" t="str">
        <f t="shared" si="1"/>
        <v>Jun-2025</v>
      </c>
    </row>
    <row r="537" ht="15.75" customHeight="1">
      <c r="A537" s="4" t="s">
        <v>818</v>
      </c>
      <c r="B537" s="5">
        <v>45830.0</v>
      </c>
      <c r="C537" s="4" t="s">
        <v>38</v>
      </c>
      <c r="D537" s="4" t="s">
        <v>19</v>
      </c>
      <c r="E537" s="4" t="s">
        <v>20</v>
      </c>
      <c r="F537" s="4" t="s">
        <v>33</v>
      </c>
      <c r="G537" s="4">
        <v>4.0</v>
      </c>
      <c r="H537" s="6">
        <v>43203.3</v>
      </c>
      <c r="I537" s="6">
        <v>172813.2</v>
      </c>
      <c r="J537" s="6">
        <v>143622.14</v>
      </c>
      <c r="K537" s="6">
        <v>29191.06</v>
      </c>
      <c r="L537" s="4" t="str">
        <f t="shared" si="1"/>
        <v>Jun-2025</v>
      </c>
    </row>
    <row r="538" ht="15.75" customHeight="1">
      <c r="A538" s="4" t="s">
        <v>819</v>
      </c>
      <c r="B538" s="5">
        <v>45830.0</v>
      </c>
      <c r="C538" s="4" t="s">
        <v>28</v>
      </c>
      <c r="D538" s="4" t="s">
        <v>14</v>
      </c>
      <c r="E538" s="4" t="s">
        <v>15</v>
      </c>
      <c r="F538" s="4" t="s">
        <v>820</v>
      </c>
      <c r="G538" s="4">
        <v>2.0</v>
      </c>
      <c r="H538" s="6">
        <v>1335.23</v>
      </c>
      <c r="I538" s="6">
        <v>2670.46</v>
      </c>
      <c r="J538" s="6">
        <v>1851.3</v>
      </c>
      <c r="K538" s="6">
        <v>819.16</v>
      </c>
      <c r="L538" s="4" t="str">
        <f t="shared" si="1"/>
        <v>Jun-2025</v>
      </c>
    </row>
    <row r="539" ht="15.75" customHeight="1">
      <c r="A539" s="4" t="s">
        <v>821</v>
      </c>
      <c r="B539" s="5">
        <v>45830.0</v>
      </c>
      <c r="C539" s="4" t="s">
        <v>18</v>
      </c>
      <c r="D539" s="4" t="s">
        <v>19</v>
      </c>
      <c r="E539" s="4" t="s">
        <v>25</v>
      </c>
      <c r="F539" s="4" t="s">
        <v>822</v>
      </c>
      <c r="G539" s="4">
        <v>7.0</v>
      </c>
      <c r="H539" s="6">
        <v>3401.82</v>
      </c>
      <c r="I539" s="6">
        <v>23812.74</v>
      </c>
      <c r="J539" s="6">
        <v>21801.27</v>
      </c>
      <c r="K539" s="6">
        <v>2011.47</v>
      </c>
      <c r="L539" s="4" t="str">
        <f t="shared" si="1"/>
        <v>Jun-2025</v>
      </c>
    </row>
    <row r="540" ht="15.75" customHeight="1">
      <c r="A540" s="4" t="s">
        <v>823</v>
      </c>
      <c r="B540" s="5">
        <v>45830.0</v>
      </c>
      <c r="C540" s="4" t="s">
        <v>28</v>
      </c>
      <c r="D540" s="4" t="s">
        <v>14</v>
      </c>
      <c r="E540" s="4" t="s">
        <v>29</v>
      </c>
      <c r="F540" s="4" t="s">
        <v>252</v>
      </c>
      <c r="G540" s="4">
        <v>7.0</v>
      </c>
      <c r="H540" s="6">
        <v>860.82</v>
      </c>
      <c r="I540" s="6">
        <v>6025.74</v>
      </c>
      <c r="J540" s="6">
        <v>4471.31</v>
      </c>
      <c r="K540" s="6">
        <v>1554.43</v>
      </c>
      <c r="L540" s="4" t="str">
        <f t="shared" si="1"/>
        <v>Jun-2025</v>
      </c>
    </row>
    <row r="541" ht="15.75" customHeight="1">
      <c r="A541" s="4" t="s">
        <v>824</v>
      </c>
      <c r="B541" s="5">
        <v>45830.0</v>
      </c>
      <c r="C541" s="4" t="s">
        <v>32</v>
      </c>
      <c r="D541" s="4" t="s">
        <v>19</v>
      </c>
      <c r="E541" s="4" t="s">
        <v>20</v>
      </c>
      <c r="F541" s="4" t="s">
        <v>147</v>
      </c>
      <c r="G541" s="4">
        <v>4.0</v>
      </c>
      <c r="H541" s="6">
        <v>54978.87</v>
      </c>
      <c r="I541" s="6">
        <v>219915.48</v>
      </c>
      <c r="J541" s="6">
        <v>187232.8</v>
      </c>
      <c r="K541" s="6">
        <v>32682.68</v>
      </c>
      <c r="L541" s="4" t="str">
        <f t="shared" si="1"/>
        <v>Jun-2025</v>
      </c>
    </row>
    <row r="542" ht="15.75" customHeight="1">
      <c r="A542" s="4" t="s">
        <v>825</v>
      </c>
      <c r="B542" s="5">
        <v>45831.0</v>
      </c>
      <c r="C542" s="4" t="s">
        <v>38</v>
      </c>
      <c r="D542" s="4" t="s">
        <v>19</v>
      </c>
      <c r="E542" s="4" t="s">
        <v>25</v>
      </c>
      <c r="F542" s="4" t="s">
        <v>826</v>
      </c>
      <c r="G542" s="4">
        <v>6.0</v>
      </c>
      <c r="H542" s="6">
        <v>46133.19</v>
      </c>
      <c r="I542" s="6">
        <v>276799.14</v>
      </c>
      <c r="J542" s="6">
        <v>253322.43</v>
      </c>
      <c r="K542" s="6">
        <v>23476.71</v>
      </c>
      <c r="L542" s="4" t="str">
        <f t="shared" si="1"/>
        <v>Jun-2025</v>
      </c>
    </row>
    <row r="543" ht="15.75" customHeight="1">
      <c r="A543" s="4" t="s">
        <v>827</v>
      </c>
      <c r="B543" s="5">
        <v>45831.0</v>
      </c>
      <c r="C543" s="4" t="s">
        <v>38</v>
      </c>
      <c r="D543" s="4" t="s">
        <v>19</v>
      </c>
      <c r="E543" s="4" t="s">
        <v>15</v>
      </c>
      <c r="F543" s="4" t="s">
        <v>241</v>
      </c>
      <c r="G543" s="4">
        <v>3.0</v>
      </c>
      <c r="H543" s="6">
        <v>46755.87</v>
      </c>
      <c r="I543" s="6">
        <v>140267.61</v>
      </c>
      <c r="J543" s="6">
        <v>125138.9</v>
      </c>
      <c r="K543" s="6">
        <v>15128.71</v>
      </c>
      <c r="L543" s="4" t="str">
        <f t="shared" si="1"/>
        <v>Jun-2025</v>
      </c>
    </row>
    <row r="544" ht="15.75" customHeight="1">
      <c r="A544" s="4" t="s">
        <v>828</v>
      </c>
      <c r="B544" s="5">
        <v>45831.0</v>
      </c>
      <c r="C544" s="4" t="s">
        <v>72</v>
      </c>
      <c r="D544" s="4" t="s">
        <v>24</v>
      </c>
      <c r="E544" s="4" t="s">
        <v>25</v>
      </c>
      <c r="F544" s="4" t="s">
        <v>765</v>
      </c>
      <c r="G544" s="4">
        <v>3.0</v>
      </c>
      <c r="H544" s="6">
        <v>13089.01</v>
      </c>
      <c r="I544" s="6">
        <v>39267.03</v>
      </c>
      <c r="J544" s="6">
        <v>29612.67</v>
      </c>
      <c r="K544" s="6">
        <v>9654.36</v>
      </c>
      <c r="L544" s="4" t="str">
        <f t="shared" si="1"/>
        <v>Jun-2025</v>
      </c>
    </row>
    <row r="545" ht="15.75" customHeight="1">
      <c r="A545" s="4" t="s">
        <v>829</v>
      </c>
      <c r="B545" s="5">
        <v>45831.0</v>
      </c>
      <c r="C545" s="4" t="s">
        <v>109</v>
      </c>
      <c r="D545" s="4" t="s">
        <v>42</v>
      </c>
      <c r="E545" s="4" t="s">
        <v>25</v>
      </c>
      <c r="F545" s="4" t="s">
        <v>227</v>
      </c>
      <c r="G545" s="4">
        <v>6.0</v>
      </c>
      <c r="H545" s="6">
        <v>3765.83</v>
      </c>
      <c r="I545" s="6">
        <v>22594.98</v>
      </c>
      <c r="J545" s="6">
        <v>19077.69</v>
      </c>
      <c r="K545" s="6">
        <v>3517.29</v>
      </c>
      <c r="L545" s="4" t="str">
        <f t="shared" si="1"/>
        <v>Jun-2025</v>
      </c>
    </row>
    <row r="546" ht="15.75" customHeight="1">
      <c r="A546" s="4" t="s">
        <v>830</v>
      </c>
      <c r="B546" s="5">
        <v>45831.0</v>
      </c>
      <c r="C546" s="4" t="s">
        <v>75</v>
      </c>
      <c r="D546" s="4" t="s">
        <v>24</v>
      </c>
      <c r="E546" s="4" t="s">
        <v>20</v>
      </c>
      <c r="F546" s="4" t="s">
        <v>268</v>
      </c>
      <c r="G546" s="4">
        <v>1.0</v>
      </c>
      <c r="H546" s="6">
        <v>16799.5</v>
      </c>
      <c r="I546" s="6">
        <v>16799.5</v>
      </c>
      <c r="J546" s="6">
        <v>14164.66</v>
      </c>
      <c r="K546" s="6">
        <v>2634.84</v>
      </c>
      <c r="L546" s="4" t="str">
        <f t="shared" si="1"/>
        <v>Jun-2025</v>
      </c>
    </row>
    <row r="547" ht="15.75" customHeight="1">
      <c r="A547" s="4" t="s">
        <v>831</v>
      </c>
      <c r="B547" s="5">
        <v>45831.0</v>
      </c>
      <c r="C547" s="4" t="s">
        <v>32</v>
      </c>
      <c r="D547" s="4" t="s">
        <v>19</v>
      </c>
      <c r="E547" s="4" t="s">
        <v>29</v>
      </c>
      <c r="F547" s="4" t="s">
        <v>293</v>
      </c>
      <c r="G547" s="4">
        <v>1.0</v>
      </c>
      <c r="H547" s="6">
        <v>26088.52</v>
      </c>
      <c r="I547" s="6">
        <v>26088.52</v>
      </c>
      <c r="J547" s="6">
        <v>23485.43</v>
      </c>
      <c r="K547" s="6">
        <v>2603.09</v>
      </c>
      <c r="L547" s="4" t="str">
        <f t="shared" si="1"/>
        <v>Jun-2025</v>
      </c>
    </row>
    <row r="548" ht="15.75" customHeight="1">
      <c r="A548" s="4" t="s">
        <v>832</v>
      </c>
      <c r="B548" s="5">
        <v>45832.0</v>
      </c>
      <c r="C548" s="4" t="s">
        <v>13</v>
      </c>
      <c r="D548" s="4" t="s">
        <v>14</v>
      </c>
      <c r="E548" s="4" t="s">
        <v>20</v>
      </c>
      <c r="F548" s="4" t="s">
        <v>607</v>
      </c>
      <c r="G548" s="4">
        <v>6.0</v>
      </c>
      <c r="H548" s="6">
        <v>125.79</v>
      </c>
      <c r="I548" s="6">
        <v>754.74</v>
      </c>
      <c r="J548" s="6">
        <v>616.54</v>
      </c>
      <c r="K548" s="6">
        <v>138.2</v>
      </c>
      <c r="L548" s="4" t="str">
        <f t="shared" si="1"/>
        <v>Jun-2025</v>
      </c>
    </row>
    <row r="549" ht="15.75" customHeight="1">
      <c r="A549" s="4" t="s">
        <v>833</v>
      </c>
      <c r="B549" s="5">
        <v>45832.0</v>
      </c>
      <c r="C549" s="4" t="s">
        <v>61</v>
      </c>
      <c r="D549" s="4" t="s">
        <v>19</v>
      </c>
      <c r="E549" s="4" t="s">
        <v>20</v>
      </c>
      <c r="F549" s="4" t="s">
        <v>735</v>
      </c>
      <c r="G549" s="4">
        <v>4.0</v>
      </c>
      <c r="H549" s="6">
        <v>73437.89</v>
      </c>
      <c r="I549" s="6">
        <v>293751.56</v>
      </c>
      <c r="J549" s="6">
        <v>252560.44</v>
      </c>
      <c r="K549" s="6">
        <v>41191.12</v>
      </c>
      <c r="L549" s="4" t="str">
        <f t="shared" si="1"/>
        <v>Jun-2025</v>
      </c>
    </row>
    <row r="550" ht="15.75" customHeight="1">
      <c r="A550" s="4" t="s">
        <v>834</v>
      </c>
      <c r="B550" s="5">
        <v>45832.0</v>
      </c>
      <c r="C550" s="4" t="s">
        <v>160</v>
      </c>
      <c r="D550" s="4" t="s">
        <v>42</v>
      </c>
      <c r="E550" s="4" t="s">
        <v>29</v>
      </c>
      <c r="F550" s="4" t="s">
        <v>84</v>
      </c>
      <c r="G550" s="4">
        <v>2.0</v>
      </c>
      <c r="H550" s="6">
        <v>749.54</v>
      </c>
      <c r="I550" s="6">
        <v>1499.08</v>
      </c>
      <c r="J550" s="6">
        <v>1321.96</v>
      </c>
      <c r="K550" s="6">
        <v>177.12</v>
      </c>
      <c r="L550" s="4" t="str">
        <f t="shared" si="1"/>
        <v>Jun-2025</v>
      </c>
    </row>
    <row r="551" ht="15.75" customHeight="1">
      <c r="A551" s="4" t="s">
        <v>835</v>
      </c>
      <c r="B551" s="5">
        <v>45832.0</v>
      </c>
      <c r="C551" s="4" t="s">
        <v>41</v>
      </c>
      <c r="D551" s="4" t="s">
        <v>42</v>
      </c>
      <c r="E551" s="4" t="s">
        <v>20</v>
      </c>
      <c r="F551" s="4" t="s">
        <v>302</v>
      </c>
      <c r="G551" s="4">
        <v>4.0</v>
      </c>
      <c r="H551" s="6">
        <v>2450.19</v>
      </c>
      <c r="I551" s="6">
        <v>9800.76</v>
      </c>
      <c r="J551" s="6">
        <v>8373.41</v>
      </c>
      <c r="K551" s="6">
        <v>1427.35</v>
      </c>
      <c r="L551" s="4" t="str">
        <f t="shared" si="1"/>
        <v>Jun-2025</v>
      </c>
    </row>
    <row r="552" ht="15.75" customHeight="1">
      <c r="A552" s="4" t="s">
        <v>836</v>
      </c>
      <c r="B552" s="5">
        <v>45832.0</v>
      </c>
      <c r="C552" s="4" t="s">
        <v>18</v>
      </c>
      <c r="D552" s="4" t="s">
        <v>19</v>
      </c>
      <c r="E552" s="4" t="s">
        <v>15</v>
      </c>
      <c r="F552" s="4" t="s">
        <v>229</v>
      </c>
      <c r="G552" s="4">
        <v>6.0</v>
      </c>
      <c r="H552" s="6">
        <v>10545.07</v>
      </c>
      <c r="I552" s="6">
        <v>63270.42</v>
      </c>
      <c r="J552" s="6">
        <v>51618.13</v>
      </c>
      <c r="K552" s="6">
        <v>11652.29</v>
      </c>
      <c r="L552" s="4" t="str">
        <f t="shared" si="1"/>
        <v>Jun-2025</v>
      </c>
    </row>
    <row r="553" ht="15.75" customHeight="1">
      <c r="A553" s="4" t="s">
        <v>837</v>
      </c>
      <c r="B553" s="5">
        <v>45832.0</v>
      </c>
      <c r="C553" s="4" t="s">
        <v>155</v>
      </c>
      <c r="D553" s="4" t="s">
        <v>24</v>
      </c>
      <c r="E553" s="4" t="s">
        <v>25</v>
      </c>
      <c r="F553" s="4" t="s">
        <v>478</v>
      </c>
      <c r="G553" s="4">
        <v>6.0</v>
      </c>
      <c r="H553" s="6">
        <v>2353.44</v>
      </c>
      <c r="I553" s="6">
        <v>14120.64</v>
      </c>
      <c r="J553" s="6">
        <v>12300.21</v>
      </c>
      <c r="K553" s="6">
        <v>1820.43</v>
      </c>
      <c r="L553" s="4" t="str">
        <f t="shared" si="1"/>
        <v>Jun-2025</v>
      </c>
    </row>
    <row r="554" ht="15.75" customHeight="1">
      <c r="A554" s="4" t="s">
        <v>838</v>
      </c>
      <c r="B554" s="5">
        <v>45833.0</v>
      </c>
      <c r="C554" s="4" t="s">
        <v>47</v>
      </c>
      <c r="D554" s="4" t="s">
        <v>14</v>
      </c>
      <c r="E554" s="4" t="s">
        <v>15</v>
      </c>
      <c r="F554" s="4" t="s">
        <v>84</v>
      </c>
      <c r="G554" s="4">
        <v>2.0</v>
      </c>
      <c r="H554" s="6">
        <v>62.06</v>
      </c>
      <c r="I554" s="6">
        <v>124.12</v>
      </c>
      <c r="J554" s="6">
        <v>89.71</v>
      </c>
      <c r="K554" s="6">
        <v>34.41</v>
      </c>
      <c r="L554" s="4" t="str">
        <f t="shared" si="1"/>
        <v>Jun-2025</v>
      </c>
    </row>
    <row r="555" ht="15.75" customHeight="1">
      <c r="A555" s="4" t="s">
        <v>839</v>
      </c>
      <c r="B555" s="5">
        <v>45833.0</v>
      </c>
      <c r="C555" s="4" t="s">
        <v>140</v>
      </c>
      <c r="D555" s="4" t="s">
        <v>14</v>
      </c>
      <c r="E555" s="4" t="s">
        <v>20</v>
      </c>
      <c r="F555" s="4" t="s">
        <v>62</v>
      </c>
      <c r="G555" s="4">
        <v>4.0</v>
      </c>
      <c r="H555" s="6">
        <v>861.55</v>
      </c>
      <c r="I555" s="6">
        <v>3446.2</v>
      </c>
      <c r="J555" s="6">
        <v>2359.81</v>
      </c>
      <c r="K555" s="6">
        <v>1086.39</v>
      </c>
      <c r="L555" s="4" t="str">
        <f t="shared" si="1"/>
        <v>Jun-2025</v>
      </c>
    </row>
    <row r="556" ht="15.75" customHeight="1">
      <c r="A556" s="4" t="s">
        <v>840</v>
      </c>
      <c r="B556" s="5">
        <v>45833.0</v>
      </c>
      <c r="C556" s="4" t="s">
        <v>13</v>
      </c>
      <c r="D556" s="4" t="s">
        <v>14</v>
      </c>
      <c r="E556" s="4" t="s">
        <v>20</v>
      </c>
      <c r="F556" s="4" t="s">
        <v>243</v>
      </c>
      <c r="G556" s="4">
        <v>3.0</v>
      </c>
      <c r="H556" s="6">
        <v>1419.19</v>
      </c>
      <c r="I556" s="6">
        <v>4257.57</v>
      </c>
      <c r="J556" s="6">
        <v>3007.66</v>
      </c>
      <c r="K556" s="6">
        <v>1249.91</v>
      </c>
      <c r="L556" s="4" t="str">
        <f t="shared" si="1"/>
        <v>Jun-2025</v>
      </c>
    </row>
    <row r="557" ht="15.75" customHeight="1">
      <c r="A557" s="4" t="s">
        <v>841</v>
      </c>
      <c r="B557" s="5">
        <v>45833.0</v>
      </c>
      <c r="C557" s="4" t="s">
        <v>28</v>
      </c>
      <c r="D557" s="4" t="s">
        <v>14</v>
      </c>
      <c r="E557" s="4" t="s">
        <v>15</v>
      </c>
      <c r="F557" s="4" t="s">
        <v>57</v>
      </c>
      <c r="G557" s="4">
        <v>2.0</v>
      </c>
      <c r="H557" s="6">
        <v>122.59</v>
      </c>
      <c r="I557" s="6">
        <v>245.18</v>
      </c>
      <c r="J557" s="6">
        <v>198.12</v>
      </c>
      <c r="K557" s="6">
        <v>47.06</v>
      </c>
      <c r="L557" s="4" t="str">
        <f t="shared" si="1"/>
        <v>Jun-2025</v>
      </c>
    </row>
    <row r="558" ht="15.75" customHeight="1">
      <c r="A558" s="4" t="s">
        <v>842</v>
      </c>
      <c r="B558" s="5">
        <v>45834.0</v>
      </c>
      <c r="C558" s="4" t="s">
        <v>69</v>
      </c>
      <c r="D558" s="4" t="s">
        <v>19</v>
      </c>
      <c r="E558" s="4" t="s">
        <v>29</v>
      </c>
      <c r="F558" s="4" t="s">
        <v>661</v>
      </c>
      <c r="G558" s="4">
        <v>3.0</v>
      </c>
      <c r="H558" s="6">
        <v>11187.06</v>
      </c>
      <c r="I558" s="6">
        <v>33561.18</v>
      </c>
      <c r="J558" s="6">
        <v>29201.64</v>
      </c>
      <c r="K558" s="6">
        <v>4359.54</v>
      </c>
      <c r="L558" s="4" t="str">
        <f t="shared" si="1"/>
        <v>Jun-2025</v>
      </c>
    </row>
    <row r="559" ht="15.75" customHeight="1">
      <c r="A559" s="4" t="s">
        <v>843</v>
      </c>
      <c r="B559" s="5">
        <v>45835.0</v>
      </c>
      <c r="C559" s="4" t="s">
        <v>180</v>
      </c>
      <c r="D559" s="4" t="s">
        <v>19</v>
      </c>
      <c r="E559" s="4" t="s">
        <v>25</v>
      </c>
      <c r="F559" s="4" t="s">
        <v>596</v>
      </c>
      <c r="G559" s="4">
        <v>7.0</v>
      </c>
      <c r="H559" s="6">
        <v>22015.3</v>
      </c>
      <c r="I559" s="6">
        <v>154107.1</v>
      </c>
      <c r="J559" s="6">
        <v>133879.17</v>
      </c>
      <c r="K559" s="6">
        <v>20227.93</v>
      </c>
      <c r="L559" s="4" t="str">
        <f t="shared" si="1"/>
        <v>Jun-2025</v>
      </c>
    </row>
    <row r="560" ht="15.75" customHeight="1">
      <c r="A560" s="4" t="s">
        <v>844</v>
      </c>
      <c r="B560" s="5">
        <v>45835.0</v>
      </c>
      <c r="C560" s="4" t="s">
        <v>35</v>
      </c>
      <c r="D560" s="4" t="s">
        <v>14</v>
      </c>
      <c r="E560" s="4" t="s">
        <v>20</v>
      </c>
      <c r="F560" s="4" t="s">
        <v>446</v>
      </c>
      <c r="G560" s="4">
        <v>2.0</v>
      </c>
      <c r="H560" s="6">
        <v>813.56</v>
      </c>
      <c r="I560" s="6">
        <v>1627.12</v>
      </c>
      <c r="J560" s="6">
        <v>1364.68</v>
      </c>
      <c r="K560" s="6">
        <v>262.44</v>
      </c>
      <c r="L560" s="4" t="str">
        <f t="shared" si="1"/>
        <v>Jun-2025</v>
      </c>
    </row>
    <row r="561" ht="15.75" customHeight="1">
      <c r="A561" s="4" t="s">
        <v>845</v>
      </c>
      <c r="B561" s="5">
        <v>45836.0</v>
      </c>
      <c r="C561" s="4" t="s">
        <v>13</v>
      </c>
      <c r="D561" s="4" t="s">
        <v>14</v>
      </c>
      <c r="E561" s="4" t="s">
        <v>29</v>
      </c>
      <c r="F561" s="4" t="s">
        <v>70</v>
      </c>
      <c r="G561" s="4">
        <v>4.0</v>
      </c>
      <c r="H561" s="6">
        <v>609.85</v>
      </c>
      <c r="I561" s="6">
        <v>2439.4</v>
      </c>
      <c r="J561" s="6">
        <v>1992.3</v>
      </c>
      <c r="K561" s="6">
        <v>447.1</v>
      </c>
      <c r="L561" s="4" t="str">
        <f t="shared" si="1"/>
        <v>Jun-2025</v>
      </c>
    </row>
    <row r="562" ht="15.75" customHeight="1">
      <c r="A562" s="4" t="s">
        <v>846</v>
      </c>
      <c r="B562" s="5">
        <v>45836.0</v>
      </c>
      <c r="C562" s="4" t="s">
        <v>13</v>
      </c>
      <c r="D562" s="4" t="s">
        <v>14</v>
      </c>
      <c r="E562" s="4" t="s">
        <v>20</v>
      </c>
      <c r="F562" s="4" t="s">
        <v>57</v>
      </c>
      <c r="G562" s="4">
        <v>2.0</v>
      </c>
      <c r="H562" s="6">
        <v>1052.26</v>
      </c>
      <c r="I562" s="6">
        <v>2104.52</v>
      </c>
      <c r="J562" s="6">
        <v>1452.26</v>
      </c>
      <c r="K562" s="6">
        <v>652.26</v>
      </c>
      <c r="L562" s="4" t="str">
        <f t="shared" si="1"/>
        <v>Jun-2025</v>
      </c>
    </row>
    <row r="563" ht="15.75" customHeight="1">
      <c r="A563" s="4" t="s">
        <v>847</v>
      </c>
      <c r="B563" s="5">
        <v>45836.0</v>
      </c>
      <c r="C563" s="4" t="s">
        <v>50</v>
      </c>
      <c r="D563" s="4" t="s">
        <v>42</v>
      </c>
      <c r="E563" s="4" t="s">
        <v>15</v>
      </c>
      <c r="F563" s="4" t="s">
        <v>121</v>
      </c>
      <c r="G563" s="4">
        <v>2.0</v>
      </c>
      <c r="H563" s="6">
        <v>1419.3</v>
      </c>
      <c r="I563" s="6">
        <v>2838.6</v>
      </c>
      <c r="J563" s="6">
        <v>2295.19</v>
      </c>
      <c r="K563" s="6">
        <v>543.41</v>
      </c>
      <c r="L563" s="4" t="str">
        <f t="shared" si="1"/>
        <v>Jun-2025</v>
      </c>
    </row>
    <row r="564" ht="15.75" customHeight="1">
      <c r="A564" s="4" t="s">
        <v>848</v>
      </c>
      <c r="B564" s="5">
        <v>45836.0</v>
      </c>
      <c r="C564" s="4" t="s">
        <v>155</v>
      </c>
      <c r="D564" s="4" t="s">
        <v>24</v>
      </c>
      <c r="E564" s="4" t="s">
        <v>20</v>
      </c>
      <c r="F564" s="4" t="s">
        <v>683</v>
      </c>
      <c r="G564" s="4">
        <v>7.0</v>
      </c>
      <c r="H564" s="6">
        <v>9491.32</v>
      </c>
      <c r="I564" s="6">
        <v>66439.24</v>
      </c>
      <c r="J564" s="6">
        <v>47920.5</v>
      </c>
      <c r="K564" s="6">
        <v>18518.74</v>
      </c>
      <c r="L564" s="4" t="str">
        <f t="shared" si="1"/>
        <v>Jun-2025</v>
      </c>
    </row>
    <row r="565" ht="15.75" customHeight="1">
      <c r="A565" s="4" t="s">
        <v>849</v>
      </c>
      <c r="B565" s="5">
        <v>45836.0</v>
      </c>
      <c r="C565" s="4" t="s">
        <v>155</v>
      </c>
      <c r="D565" s="4" t="s">
        <v>24</v>
      </c>
      <c r="E565" s="4" t="s">
        <v>15</v>
      </c>
      <c r="F565" s="4" t="s">
        <v>80</v>
      </c>
      <c r="G565" s="4">
        <v>4.0</v>
      </c>
      <c r="H565" s="6">
        <v>8944.63</v>
      </c>
      <c r="I565" s="6">
        <v>35778.52</v>
      </c>
      <c r="J565" s="6">
        <v>28537.35</v>
      </c>
      <c r="K565" s="6">
        <v>7241.17</v>
      </c>
      <c r="L565" s="4" t="str">
        <f t="shared" si="1"/>
        <v>Jun-2025</v>
      </c>
    </row>
    <row r="566" ht="15.75" customHeight="1">
      <c r="A566" s="4" t="s">
        <v>850</v>
      </c>
      <c r="B566" s="5">
        <v>45836.0</v>
      </c>
      <c r="C566" s="4" t="s">
        <v>32</v>
      </c>
      <c r="D566" s="4" t="s">
        <v>19</v>
      </c>
      <c r="E566" s="4" t="s">
        <v>20</v>
      </c>
      <c r="F566" s="4" t="s">
        <v>309</v>
      </c>
      <c r="G566" s="4">
        <v>5.0</v>
      </c>
      <c r="H566" s="6">
        <v>41854.17</v>
      </c>
      <c r="I566" s="6">
        <v>209270.85</v>
      </c>
      <c r="J566" s="6">
        <v>179459.4</v>
      </c>
      <c r="K566" s="6">
        <v>29811.45</v>
      </c>
      <c r="L566" s="4" t="str">
        <f t="shared" si="1"/>
        <v>Jun-2025</v>
      </c>
    </row>
    <row r="567" ht="15.75" customHeight="1">
      <c r="A567" s="4" t="s">
        <v>851</v>
      </c>
      <c r="B567" s="5">
        <v>45837.0</v>
      </c>
      <c r="C567" s="4" t="s">
        <v>18</v>
      </c>
      <c r="D567" s="4" t="s">
        <v>19</v>
      </c>
      <c r="E567" s="4" t="s">
        <v>25</v>
      </c>
      <c r="F567" s="4" t="s">
        <v>392</v>
      </c>
      <c r="G567" s="4">
        <v>7.0</v>
      </c>
      <c r="H567" s="6">
        <v>12944.73</v>
      </c>
      <c r="I567" s="6">
        <v>90613.11</v>
      </c>
      <c r="J567" s="6">
        <v>80352.57</v>
      </c>
      <c r="K567" s="6">
        <v>10260.54</v>
      </c>
      <c r="L567" s="4" t="str">
        <f t="shared" si="1"/>
        <v>Jun-2025</v>
      </c>
    </row>
    <row r="568" ht="15.75" customHeight="1">
      <c r="A568" s="4" t="s">
        <v>852</v>
      </c>
      <c r="B568" s="5">
        <v>45837.0</v>
      </c>
      <c r="C568" s="4" t="s">
        <v>35</v>
      </c>
      <c r="D568" s="4" t="s">
        <v>14</v>
      </c>
      <c r="E568" s="4" t="s">
        <v>15</v>
      </c>
      <c r="F568" s="4" t="s">
        <v>26</v>
      </c>
      <c r="G568" s="4">
        <v>6.0</v>
      </c>
      <c r="H568" s="6">
        <v>484.96</v>
      </c>
      <c r="I568" s="6">
        <v>2909.76</v>
      </c>
      <c r="J568" s="6">
        <v>2013.55</v>
      </c>
      <c r="K568" s="6">
        <v>896.21</v>
      </c>
      <c r="L568" s="4" t="str">
        <f t="shared" si="1"/>
        <v>Jun-2025</v>
      </c>
    </row>
    <row r="569" ht="15.75" customHeight="1">
      <c r="A569" s="4" t="s">
        <v>853</v>
      </c>
      <c r="B569" s="5">
        <v>45837.0</v>
      </c>
      <c r="C569" s="4" t="s">
        <v>32</v>
      </c>
      <c r="D569" s="4" t="s">
        <v>19</v>
      </c>
      <c r="E569" s="4" t="s">
        <v>29</v>
      </c>
      <c r="F569" s="4" t="s">
        <v>229</v>
      </c>
      <c r="G569" s="4">
        <v>2.0</v>
      </c>
      <c r="H569" s="6">
        <v>10046.44</v>
      </c>
      <c r="I569" s="6">
        <v>20092.88</v>
      </c>
      <c r="J569" s="6">
        <v>17603.21</v>
      </c>
      <c r="K569" s="6">
        <v>2489.67</v>
      </c>
      <c r="L569" s="4" t="str">
        <f t="shared" si="1"/>
        <v>Jun-2025</v>
      </c>
    </row>
    <row r="570" ht="15.75" customHeight="1">
      <c r="A570" s="4" t="s">
        <v>854</v>
      </c>
      <c r="B570" s="5">
        <v>45837.0</v>
      </c>
      <c r="C570" s="4" t="s">
        <v>66</v>
      </c>
      <c r="D570" s="4" t="s">
        <v>42</v>
      </c>
      <c r="E570" s="4" t="s">
        <v>25</v>
      </c>
      <c r="F570" s="4" t="s">
        <v>268</v>
      </c>
      <c r="G570" s="4">
        <v>6.0</v>
      </c>
      <c r="H570" s="6">
        <v>2253.63</v>
      </c>
      <c r="I570" s="6">
        <v>13521.78</v>
      </c>
      <c r="J570" s="6">
        <v>11197.98</v>
      </c>
      <c r="K570" s="6">
        <v>2323.8</v>
      </c>
      <c r="L570" s="4" t="str">
        <f t="shared" si="1"/>
        <v>Jun-2025</v>
      </c>
    </row>
    <row r="571" ht="15.75" customHeight="1">
      <c r="A571" s="4" t="s">
        <v>855</v>
      </c>
      <c r="B571" s="5">
        <v>45837.0</v>
      </c>
      <c r="C571" s="4" t="s">
        <v>61</v>
      </c>
      <c r="D571" s="4" t="s">
        <v>19</v>
      </c>
      <c r="E571" s="4" t="s">
        <v>25</v>
      </c>
      <c r="F571" s="4" t="s">
        <v>856</v>
      </c>
      <c r="G571" s="4">
        <v>2.0</v>
      </c>
      <c r="H571" s="6">
        <v>43599.15</v>
      </c>
      <c r="I571" s="6">
        <v>87198.3</v>
      </c>
      <c r="J571" s="6">
        <v>78975.04</v>
      </c>
      <c r="K571" s="6">
        <v>8223.26</v>
      </c>
      <c r="L571" s="4" t="str">
        <f t="shared" si="1"/>
        <v>Jun-2025</v>
      </c>
    </row>
    <row r="572" ht="15.75" customHeight="1">
      <c r="A572" s="4" t="s">
        <v>857</v>
      </c>
      <c r="B572" s="5">
        <v>45837.0</v>
      </c>
      <c r="C572" s="4" t="s">
        <v>38</v>
      </c>
      <c r="D572" s="4" t="s">
        <v>19</v>
      </c>
      <c r="E572" s="4" t="s">
        <v>25</v>
      </c>
      <c r="F572" s="4" t="s">
        <v>70</v>
      </c>
      <c r="G572" s="4">
        <v>2.0</v>
      </c>
      <c r="H572" s="6">
        <v>29363.94</v>
      </c>
      <c r="I572" s="6">
        <v>58727.88</v>
      </c>
      <c r="J572" s="6">
        <v>51194.54</v>
      </c>
      <c r="K572" s="6">
        <v>7533.34</v>
      </c>
      <c r="L572" s="4" t="str">
        <f t="shared" si="1"/>
        <v>Jun-2025</v>
      </c>
    </row>
    <row r="573" ht="15.75" customHeight="1">
      <c r="A573" s="4" t="s">
        <v>858</v>
      </c>
      <c r="B573" s="5">
        <v>45837.0</v>
      </c>
      <c r="C573" s="4" t="s">
        <v>72</v>
      </c>
      <c r="D573" s="4" t="s">
        <v>24</v>
      </c>
      <c r="E573" s="4" t="s">
        <v>20</v>
      </c>
      <c r="F573" s="4" t="s">
        <v>256</v>
      </c>
      <c r="G573" s="4">
        <v>4.0</v>
      </c>
      <c r="H573" s="6">
        <v>1643.98</v>
      </c>
      <c r="I573" s="6">
        <v>6575.92</v>
      </c>
      <c r="J573" s="6">
        <v>4837.35</v>
      </c>
      <c r="K573" s="6">
        <v>1738.57</v>
      </c>
      <c r="L573" s="4" t="str">
        <f t="shared" si="1"/>
        <v>Jun-2025</v>
      </c>
    </row>
    <row r="574" ht="15.75" customHeight="1">
      <c r="A574" s="4" t="s">
        <v>859</v>
      </c>
      <c r="B574" s="5">
        <v>45838.0</v>
      </c>
      <c r="C574" s="4" t="s">
        <v>69</v>
      </c>
      <c r="D574" s="4" t="s">
        <v>19</v>
      </c>
      <c r="E574" s="4" t="s">
        <v>29</v>
      </c>
      <c r="F574" s="4" t="s">
        <v>626</v>
      </c>
      <c r="G574" s="4">
        <v>3.0</v>
      </c>
      <c r="H574" s="6">
        <v>36181.36</v>
      </c>
      <c r="I574" s="6">
        <v>108544.08</v>
      </c>
      <c r="J574" s="6">
        <v>89145.48</v>
      </c>
      <c r="K574" s="6">
        <v>19398.6</v>
      </c>
      <c r="L574" s="4" t="str">
        <f t="shared" si="1"/>
        <v>Jun-2025</v>
      </c>
    </row>
    <row r="575" ht="15.75" customHeight="1">
      <c r="A575" s="4" t="s">
        <v>860</v>
      </c>
      <c r="B575" s="5">
        <v>45839.0</v>
      </c>
      <c r="C575" s="4" t="s">
        <v>75</v>
      </c>
      <c r="D575" s="4" t="s">
        <v>24</v>
      </c>
      <c r="E575" s="4" t="s">
        <v>25</v>
      </c>
      <c r="F575" s="4" t="s">
        <v>575</v>
      </c>
      <c r="G575" s="4">
        <v>6.0</v>
      </c>
      <c r="H575" s="6">
        <v>10712.49</v>
      </c>
      <c r="I575" s="6">
        <v>64274.94</v>
      </c>
      <c r="J575" s="6">
        <v>48525.4</v>
      </c>
      <c r="K575" s="6">
        <v>15749.54</v>
      </c>
      <c r="L575" s="4" t="str">
        <f t="shared" si="1"/>
        <v>Jul-2025</v>
      </c>
    </row>
    <row r="576" ht="15.75" customHeight="1">
      <c r="A576" s="4" t="s">
        <v>861</v>
      </c>
      <c r="B576" s="5">
        <v>45840.0</v>
      </c>
      <c r="C576" s="4" t="s">
        <v>140</v>
      </c>
      <c r="D576" s="4" t="s">
        <v>14</v>
      </c>
      <c r="E576" s="4" t="s">
        <v>25</v>
      </c>
      <c r="F576" s="4" t="s">
        <v>227</v>
      </c>
      <c r="G576" s="4">
        <v>2.0</v>
      </c>
      <c r="H576" s="6">
        <v>825.11</v>
      </c>
      <c r="I576" s="6">
        <v>1650.22</v>
      </c>
      <c r="J576" s="6">
        <v>1145.58</v>
      </c>
      <c r="K576" s="6">
        <v>504.64</v>
      </c>
      <c r="L576" s="4" t="str">
        <f t="shared" si="1"/>
        <v>Jul-2025</v>
      </c>
    </row>
    <row r="577" ht="15.75" customHeight="1">
      <c r="A577" s="4" t="s">
        <v>862</v>
      </c>
      <c r="B577" s="5">
        <v>45840.0</v>
      </c>
      <c r="C577" s="4" t="s">
        <v>35</v>
      </c>
      <c r="D577" s="4" t="s">
        <v>14</v>
      </c>
      <c r="E577" s="4" t="s">
        <v>25</v>
      </c>
      <c r="F577" s="4" t="s">
        <v>863</v>
      </c>
      <c r="G577" s="4">
        <v>5.0</v>
      </c>
      <c r="H577" s="6">
        <v>571.83</v>
      </c>
      <c r="I577" s="6">
        <v>2859.15</v>
      </c>
      <c r="J577" s="6">
        <v>2140.61</v>
      </c>
      <c r="K577" s="6">
        <v>718.54</v>
      </c>
      <c r="L577" s="4" t="str">
        <f t="shared" si="1"/>
        <v>Jul-2025</v>
      </c>
    </row>
    <row r="578" ht="15.75" customHeight="1">
      <c r="A578" s="4" t="s">
        <v>864</v>
      </c>
      <c r="B578" s="5">
        <v>45841.0</v>
      </c>
      <c r="C578" s="4" t="s">
        <v>13</v>
      </c>
      <c r="D578" s="4" t="s">
        <v>14</v>
      </c>
      <c r="E578" s="4" t="s">
        <v>15</v>
      </c>
      <c r="F578" s="4" t="s">
        <v>30</v>
      </c>
      <c r="G578" s="4">
        <v>4.0</v>
      </c>
      <c r="H578" s="6">
        <v>585.98</v>
      </c>
      <c r="I578" s="6">
        <v>2343.92</v>
      </c>
      <c r="J578" s="6">
        <v>1764.55</v>
      </c>
      <c r="K578" s="6">
        <v>579.37</v>
      </c>
      <c r="L578" s="4" t="str">
        <f t="shared" si="1"/>
        <v>Jul-2025</v>
      </c>
    </row>
    <row r="579" ht="15.75" customHeight="1">
      <c r="A579" s="4" t="s">
        <v>865</v>
      </c>
      <c r="B579" s="5">
        <v>45842.0</v>
      </c>
      <c r="C579" s="4" t="s">
        <v>32</v>
      </c>
      <c r="D579" s="4" t="s">
        <v>19</v>
      </c>
      <c r="E579" s="4" t="s">
        <v>15</v>
      </c>
      <c r="F579" s="4" t="s">
        <v>710</v>
      </c>
      <c r="G579" s="4">
        <v>4.0</v>
      </c>
      <c r="H579" s="6">
        <v>73818.99</v>
      </c>
      <c r="I579" s="6">
        <v>295275.96</v>
      </c>
      <c r="J579" s="6">
        <v>244431.56</v>
      </c>
      <c r="K579" s="6">
        <v>50844.4</v>
      </c>
      <c r="L579" s="4" t="str">
        <f t="shared" si="1"/>
        <v>Jul-2025</v>
      </c>
    </row>
    <row r="580" ht="15.75" customHeight="1">
      <c r="A580" s="4" t="s">
        <v>866</v>
      </c>
      <c r="B580" s="5">
        <v>45842.0</v>
      </c>
      <c r="C580" s="4" t="s">
        <v>38</v>
      </c>
      <c r="D580" s="4" t="s">
        <v>19</v>
      </c>
      <c r="E580" s="4" t="s">
        <v>25</v>
      </c>
      <c r="F580" s="4" t="s">
        <v>356</v>
      </c>
      <c r="G580" s="4">
        <v>1.0</v>
      </c>
      <c r="H580" s="6">
        <v>26193.13</v>
      </c>
      <c r="I580" s="6">
        <v>26193.13</v>
      </c>
      <c r="J580" s="6">
        <v>21013.02</v>
      </c>
      <c r="K580" s="6">
        <v>5180.11</v>
      </c>
      <c r="L580" s="4" t="str">
        <f t="shared" si="1"/>
        <v>Jul-2025</v>
      </c>
    </row>
    <row r="581" ht="15.75" customHeight="1">
      <c r="A581" s="4" t="s">
        <v>867</v>
      </c>
      <c r="B581" s="5">
        <v>45842.0</v>
      </c>
      <c r="C581" s="4" t="s">
        <v>69</v>
      </c>
      <c r="D581" s="4" t="s">
        <v>19</v>
      </c>
      <c r="E581" s="4" t="s">
        <v>29</v>
      </c>
      <c r="F581" s="4" t="s">
        <v>227</v>
      </c>
      <c r="G581" s="4">
        <v>3.0</v>
      </c>
      <c r="H581" s="6">
        <v>9217.31</v>
      </c>
      <c r="I581" s="6">
        <v>27651.93</v>
      </c>
      <c r="J581" s="6">
        <v>22131.8</v>
      </c>
      <c r="K581" s="6">
        <v>5520.13</v>
      </c>
      <c r="L581" s="4" t="str">
        <f t="shared" si="1"/>
        <v>Jul-2025</v>
      </c>
    </row>
    <row r="582" ht="15.75" customHeight="1">
      <c r="A582" s="4" t="s">
        <v>868</v>
      </c>
      <c r="B582" s="5">
        <v>45843.0</v>
      </c>
      <c r="C582" s="4" t="s">
        <v>23</v>
      </c>
      <c r="D582" s="4" t="s">
        <v>24</v>
      </c>
      <c r="E582" s="4" t="s">
        <v>20</v>
      </c>
      <c r="F582" s="4" t="s">
        <v>856</v>
      </c>
      <c r="G582" s="4">
        <v>4.0</v>
      </c>
      <c r="H582" s="6">
        <v>15283.03</v>
      </c>
      <c r="I582" s="6">
        <v>61132.12</v>
      </c>
      <c r="J582" s="6">
        <v>45376.55</v>
      </c>
      <c r="K582" s="6">
        <v>15755.57</v>
      </c>
      <c r="L582" s="4" t="str">
        <f t="shared" si="1"/>
        <v>Jul-2025</v>
      </c>
    </row>
    <row r="583" ht="15.75" customHeight="1">
      <c r="A583" s="4" t="s">
        <v>869</v>
      </c>
      <c r="B583" s="5">
        <v>45843.0</v>
      </c>
      <c r="C583" s="4" t="s">
        <v>38</v>
      </c>
      <c r="D583" s="4" t="s">
        <v>19</v>
      </c>
      <c r="E583" s="4" t="s">
        <v>29</v>
      </c>
      <c r="F583" s="4" t="s">
        <v>354</v>
      </c>
      <c r="G583" s="4">
        <v>5.0</v>
      </c>
      <c r="H583" s="6">
        <v>60261.82</v>
      </c>
      <c r="I583" s="6">
        <v>301309.1</v>
      </c>
      <c r="J583" s="6">
        <v>274664.8</v>
      </c>
      <c r="K583" s="6">
        <v>26644.3</v>
      </c>
      <c r="L583" s="4" t="str">
        <f t="shared" si="1"/>
        <v>Jul-2025</v>
      </c>
    </row>
    <row r="584" ht="15.75" customHeight="1">
      <c r="A584" s="4" t="s">
        <v>870</v>
      </c>
      <c r="B584" s="5">
        <v>45843.0</v>
      </c>
      <c r="C584" s="4" t="s">
        <v>140</v>
      </c>
      <c r="D584" s="4" t="s">
        <v>14</v>
      </c>
      <c r="E584" s="4" t="s">
        <v>25</v>
      </c>
      <c r="F584" s="4" t="s">
        <v>175</v>
      </c>
      <c r="G584" s="4">
        <v>4.0</v>
      </c>
      <c r="H584" s="6">
        <v>881.56</v>
      </c>
      <c r="I584" s="6">
        <v>3526.24</v>
      </c>
      <c r="J584" s="6">
        <v>2432.5</v>
      </c>
      <c r="K584" s="6">
        <v>1093.74</v>
      </c>
      <c r="L584" s="4" t="str">
        <f t="shared" si="1"/>
        <v>Jul-2025</v>
      </c>
    </row>
    <row r="585" ht="15.75" customHeight="1">
      <c r="A585" s="4" t="s">
        <v>871</v>
      </c>
      <c r="B585" s="5">
        <v>45843.0</v>
      </c>
      <c r="C585" s="4" t="s">
        <v>109</v>
      </c>
      <c r="D585" s="4" t="s">
        <v>42</v>
      </c>
      <c r="E585" s="4" t="s">
        <v>20</v>
      </c>
      <c r="F585" s="4" t="s">
        <v>559</v>
      </c>
      <c r="G585" s="4">
        <v>5.0</v>
      </c>
      <c r="H585" s="6">
        <v>2060.71</v>
      </c>
      <c r="I585" s="6">
        <v>10303.55</v>
      </c>
      <c r="J585" s="6">
        <v>9015.16</v>
      </c>
      <c r="K585" s="6">
        <v>1288.39</v>
      </c>
      <c r="L585" s="4" t="str">
        <f t="shared" si="1"/>
        <v>Jul-2025</v>
      </c>
    </row>
    <row r="586" ht="15.75" customHeight="1">
      <c r="A586" s="4" t="s">
        <v>872</v>
      </c>
      <c r="B586" s="5">
        <v>45844.0</v>
      </c>
      <c r="C586" s="4" t="s">
        <v>180</v>
      </c>
      <c r="D586" s="4" t="s">
        <v>19</v>
      </c>
      <c r="E586" s="4" t="s">
        <v>25</v>
      </c>
      <c r="F586" s="4" t="s">
        <v>123</v>
      </c>
      <c r="G586" s="4">
        <v>2.0</v>
      </c>
      <c r="H586" s="6">
        <v>54630.47</v>
      </c>
      <c r="I586" s="6">
        <v>109260.94</v>
      </c>
      <c r="J586" s="6">
        <v>99457.27</v>
      </c>
      <c r="K586" s="6">
        <v>9803.67</v>
      </c>
      <c r="L586" s="4" t="str">
        <f t="shared" si="1"/>
        <v>Jul-2025</v>
      </c>
    </row>
    <row r="587" ht="15.75" customHeight="1">
      <c r="A587" s="4" t="s">
        <v>873</v>
      </c>
      <c r="B587" s="5">
        <v>45844.0</v>
      </c>
      <c r="C587" s="4" t="s">
        <v>47</v>
      </c>
      <c r="D587" s="4" t="s">
        <v>14</v>
      </c>
      <c r="E587" s="4" t="s">
        <v>29</v>
      </c>
      <c r="F587" s="4" t="s">
        <v>43</v>
      </c>
      <c r="G587" s="4">
        <v>2.0</v>
      </c>
      <c r="H587" s="6">
        <v>598.43</v>
      </c>
      <c r="I587" s="6">
        <v>1196.86</v>
      </c>
      <c r="J587" s="6">
        <v>976.77</v>
      </c>
      <c r="K587" s="6">
        <v>220.09</v>
      </c>
      <c r="L587" s="4" t="str">
        <f t="shared" si="1"/>
        <v>Jul-2025</v>
      </c>
    </row>
    <row r="588" ht="15.75" customHeight="1">
      <c r="A588" s="4" t="s">
        <v>874</v>
      </c>
      <c r="B588" s="5">
        <v>45844.0</v>
      </c>
      <c r="C588" s="4" t="s">
        <v>160</v>
      </c>
      <c r="D588" s="4" t="s">
        <v>42</v>
      </c>
      <c r="E588" s="4" t="s">
        <v>29</v>
      </c>
      <c r="F588" s="4" t="s">
        <v>875</v>
      </c>
      <c r="G588" s="4">
        <v>4.0</v>
      </c>
      <c r="H588" s="6">
        <v>3108.45</v>
      </c>
      <c r="I588" s="6">
        <v>12433.8</v>
      </c>
      <c r="J588" s="6">
        <v>9783.16</v>
      </c>
      <c r="K588" s="6">
        <v>2650.64</v>
      </c>
      <c r="L588" s="4" t="str">
        <f t="shared" si="1"/>
        <v>Jul-2025</v>
      </c>
    </row>
    <row r="589" ht="15.75" customHeight="1">
      <c r="A589" s="4" t="s">
        <v>876</v>
      </c>
      <c r="B589" s="5">
        <v>45844.0</v>
      </c>
      <c r="C589" s="4" t="s">
        <v>72</v>
      </c>
      <c r="D589" s="4" t="s">
        <v>24</v>
      </c>
      <c r="E589" s="4" t="s">
        <v>29</v>
      </c>
      <c r="F589" s="4" t="s">
        <v>735</v>
      </c>
      <c r="G589" s="4">
        <v>6.0</v>
      </c>
      <c r="H589" s="6">
        <v>5351.3</v>
      </c>
      <c r="I589" s="6">
        <v>32107.8</v>
      </c>
      <c r="J589" s="6">
        <v>24541.46</v>
      </c>
      <c r="K589" s="6">
        <v>7566.34</v>
      </c>
      <c r="L589" s="4" t="str">
        <f t="shared" si="1"/>
        <v>Jul-2025</v>
      </c>
    </row>
    <row r="590" ht="15.75" customHeight="1">
      <c r="A590" s="4" t="s">
        <v>877</v>
      </c>
      <c r="B590" s="5">
        <v>45845.0</v>
      </c>
      <c r="C590" s="4" t="s">
        <v>41</v>
      </c>
      <c r="D590" s="4" t="s">
        <v>42</v>
      </c>
      <c r="E590" s="4" t="s">
        <v>29</v>
      </c>
      <c r="F590" s="4" t="s">
        <v>78</v>
      </c>
      <c r="G590" s="4">
        <v>4.0</v>
      </c>
      <c r="H590" s="6">
        <v>2768.12</v>
      </c>
      <c r="I590" s="6">
        <v>11072.48</v>
      </c>
      <c r="J590" s="6">
        <v>9134.66</v>
      </c>
      <c r="K590" s="6">
        <v>1937.82</v>
      </c>
      <c r="L590" s="4" t="str">
        <f t="shared" si="1"/>
        <v>Jul-2025</v>
      </c>
    </row>
    <row r="591" ht="15.75" customHeight="1">
      <c r="A591" s="4" t="s">
        <v>878</v>
      </c>
      <c r="B591" s="5">
        <v>45845.0</v>
      </c>
      <c r="C591" s="4" t="s">
        <v>69</v>
      </c>
      <c r="D591" s="4" t="s">
        <v>19</v>
      </c>
      <c r="E591" s="4" t="s">
        <v>29</v>
      </c>
      <c r="F591" s="4" t="s">
        <v>735</v>
      </c>
      <c r="G591" s="4">
        <v>7.0</v>
      </c>
      <c r="H591" s="6">
        <v>66083.96</v>
      </c>
      <c r="I591" s="6">
        <v>462587.72</v>
      </c>
      <c r="J591" s="6">
        <v>389571.97</v>
      </c>
      <c r="K591" s="6">
        <v>73015.75</v>
      </c>
      <c r="L591" s="4" t="str">
        <f t="shared" si="1"/>
        <v>Jul-2025</v>
      </c>
    </row>
    <row r="592" ht="15.75" customHeight="1">
      <c r="A592" s="4" t="s">
        <v>879</v>
      </c>
      <c r="B592" s="5">
        <v>45845.0</v>
      </c>
      <c r="C592" s="4" t="s">
        <v>92</v>
      </c>
      <c r="D592" s="4" t="s">
        <v>14</v>
      </c>
      <c r="E592" s="4" t="s">
        <v>29</v>
      </c>
      <c r="F592" s="4" t="s">
        <v>243</v>
      </c>
      <c r="G592" s="4">
        <v>7.0</v>
      </c>
      <c r="H592" s="6">
        <v>493.26</v>
      </c>
      <c r="I592" s="6">
        <v>3452.82</v>
      </c>
      <c r="J592" s="6">
        <v>2650.05</v>
      </c>
      <c r="K592" s="6">
        <v>802.77</v>
      </c>
      <c r="L592" s="4" t="str">
        <f t="shared" si="1"/>
        <v>Jul-2025</v>
      </c>
    </row>
    <row r="593" ht="15.75" customHeight="1">
      <c r="A593" s="4" t="s">
        <v>880</v>
      </c>
      <c r="B593" s="5">
        <v>45845.0</v>
      </c>
      <c r="C593" s="4" t="s">
        <v>160</v>
      </c>
      <c r="D593" s="4" t="s">
        <v>42</v>
      </c>
      <c r="E593" s="4" t="s">
        <v>20</v>
      </c>
      <c r="F593" s="4" t="s">
        <v>607</v>
      </c>
      <c r="G593" s="4">
        <v>6.0</v>
      </c>
      <c r="H593" s="6">
        <v>1380.07</v>
      </c>
      <c r="I593" s="6">
        <v>8280.42</v>
      </c>
      <c r="J593" s="6">
        <v>6273.68</v>
      </c>
      <c r="K593" s="6">
        <v>2006.74</v>
      </c>
      <c r="L593" s="4" t="str">
        <f t="shared" si="1"/>
        <v>Jul-2025</v>
      </c>
    </row>
    <row r="594" ht="15.75" customHeight="1">
      <c r="A594" s="4" t="s">
        <v>881</v>
      </c>
      <c r="B594" s="5">
        <v>45845.0</v>
      </c>
      <c r="C594" s="4" t="s">
        <v>180</v>
      </c>
      <c r="D594" s="4" t="s">
        <v>19</v>
      </c>
      <c r="E594" s="4" t="s">
        <v>25</v>
      </c>
      <c r="F594" s="4" t="s">
        <v>84</v>
      </c>
      <c r="G594" s="4">
        <v>1.0</v>
      </c>
      <c r="H594" s="6">
        <v>19169.29</v>
      </c>
      <c r="I594" s="6">
        <v>19169.29</v>
      </c>
      <c r="J594" s="6">
        <v>15778.6</v>
      </c>
      <c r="K594" s="6">
        <v>3390.69</v>
      </c>
      <c r="L594" s="4" t="str">
        <f t="shared" si="1"/>
        <v>Jul-2025</v>
      </c>
    </row>
    <row r="595" ht="15.75" customHeight="1">
      <c r="A595" s="4" t="s">
        <v>882</v>
      </c>
      <c r="B595" s="5">
        <v>45845.0</v>
      </c>
      <c r="C595" s="4" t="s">
        <v>69</v>
      </c>
      <c r="D595" s="4" t="s">
        <v>19</v>
      </c>
      <c r="E595" s="4" t="s">
        <v>20</v>
      </c>
      <c r="F595" s="4" t="s">
        <v>422</v>
      </c>
      <c r="G595" s="4">
        <v>7.0</v>
      </c>
      <c r="H595" s="6">
        <v>19640.34</v>
      </c>
      <c r="I595" s="6">
        <v>137482.38</v>
      </c>
      <c r="J595" s="6">
        <v>116255.66</v>
      </c>
      <c r="K595" s="6">
        <v>21226.72</v>
      </c>
      <c r="L595" s="4" t="str">
        <f t="shared" si="1"/>
        <v>Jul-2025</v>
      </c>
    </row>
    <row r="596" ht="15.75" customHeight="1">
      <c r="A596" s="4" t="s">
        <v>883</v>
      </c>
      <c r="B596" s="5">
        <v>45845.0</v>
      </c>
      <c r="C596" s="4" t="s">
        <v>38</v>
      </c>
      <c r="D596" s="4" t="s">
        <v>19</v>
      </c>
      <c r="E596" s="4" t="s">
        <v>29</v>
      </c>
      <c r="F596" s="4" t="s">
        <v>150</v>
      </c>
      <c r="G596" s="4">
        <v>7.0</v>
      </c>
      <c r="H596" s="6">
        <v>47152.79</v>
      </c>
      <c r="I596" s="6">
        <v>330069.53</v>
      </c>
      <c r="J596" s="6">
        <v>292472.99</v>
      </c>
      <c r="K596" s="6">
        <v>37596.54</v>
      </c>
      <c r="L596" s="4" t="str">
        <f t="shared" si="1"/>
        <v>Jul-2025</v>
      </c>
    </row>
    <row r="597" ht="15.75" customHeight="1">
      <c r="A597" s="4" t="s">
        <v>884</v>
      </c>
      <c r="B597" s="5">
        <v>45845.0</v>
      </c>
      <c r="C597" s="4" t="s">
        <v>75</v>
      </c>
      <c r="D597" s="4" t="s">
        <v>24</v>
      </c>
      <c r="E597" s="4" t="s">
        <v>25</v>
      </c>
      <c r="F597" s="4" t="s">
        <v>95</v>
      </c>
      <c r="G597" s="4">
        <v>2.0</v>
      </c>
      <c r="H597" s="6">
        <v>15473.31</v>
      </c>
      <c r="I597" s="6">
        <v>30946.62</v>
      </c>
      <c r="J597" s="6">
        <v>25891.36</v>
      </c>
      <c r="K597" s="6">
        <v>5055.26</v>
      </c>
      <c r="L597" s="4" t="str">
        <f t="shared" si="1"/>
        <v>Jul-2025</v>
      </c>
    </row>
    <row r="598" ht="15.75" customHeight="1">
      <c r="A598" s="4" t="s">
        <v>885</v>
      </c>
      <c r="B598" s="5">
        <v>45845.0</v>
      </c>
      <c r="C598" s="4" t="s">
        <v>50</v>
      </c>
      <c r="D598" s="4" t="s">
        <v>42</v>
      </c>
      <c r="E598" s="4" t="s">
        <v>25</v>
      </c>
      <c r="F598" s="4" t="s">
        <v>62</v>
      </c>
      <c r="G598" s="4">
        <v>1.0</v>
      </c>
      <c r="H598" s="6">
        <v>2199.85</v>
      </c>
      <c r="I598" s="6">
        <v>2199.85</v>
      </c>
      <c r="J598" s="6">
        <v>1921.17</v>
      </c>
      <c r="K598" s="6">
        <v>278.68</v>
      </c>
      <c r="L598" s="4" t="str">
        <f t="shared" si="1"/>
        <v>Jul-2025</v>
      </c>
    </row>
    <row r="599" ht="15.75" customHeight="1">
      <c r="A599" s="4" t="s">
        <v>886</v>
      </c>
      <c r="B599" s="5">
        <v>45846.0</v>
      </c>
      <c r="C599" s="4" t="s">
        <v>72</v>
      </c>
      <c r="D599" s="4" t="s">
        <v>24</v>
      </c>
      <c r="E599" s="4" t="s">
        <v>25</v>
      </c>
      <c r="F599" s="4" t="s">
        <v>51</v>
      </c>
      <c r="G599" s="4">
        <v>3.0</v>
      </c>
      <c r="H599" s="6">
        <v>6501.35</v>
      </c>
      <c r="I599" s="6">
        <v>19504.05</v>
      </c>
      <c r="J599" s="6">
        <v>15366.74</v>
      </c>
      <c r="K599" s="6">
        <v>4137.31</v>
      </c>
      <c r="L599" s="4" t="str">
        <f t="shared" si="1"/>
        <v>Jul-2025</v>
      </c>
    </row>
    <row r="600" ht="15.75" customHeight="1">
      <c r="A600" s="4" t="s">
        <v>887</v>
      </c>
      <c r="B600" s="5">
        <v>45846.0</v>
      </c>
      <c r="C600" s="4" t="s">
        <v>75</v>
      </c>
      <c r="D600" s="4" t="s">
        <v>24</v>
      </c>
      <c r="E600" s="4" t="s">
        <v>29</v>
      </c>
      <c r="F600" s="4" t="s">
        <v>683</v>
      </c>
      <c r="G600" s="4">
        <v>3.0</v>
      </c>
      <c r="H600" s="6">
        <v>10072.45</v>
      </c>
      <c r="I600" s="6">
        <v>30217.35</v>
      </c>
      <c r="J600" s="6">
        <v>22887.07</v>
      </c>
      <c r="K600" s="6">
        <v>7330.28</v>
      </c>
      <c r="L600" s="4" t="str">
        <f t="shared" si="1"/>
        <v>Jul-2025</v>
      </c>
    </row>
    <row r="601" ht="15.75" customHeight="1">
      <c r="A601" s="4" t="s">
        <v>888</v>
      </c>
      <c r="B601" s="5">
        <v>45847.0</v>
      </c>
      <c r="C601" s="4" t="s">
        <v>32</v>
      </c>
      <c r="D601" s="4" t="s">
        <v>19</v>
      </c>
      <c r="E601" s="4" t="s">
        <v>25</v>
      </c>
      <c r="F601" s="4" t="s">
        <v>282</v>
      </c>
      <c r="G601" s="4">
        <v>7.0</v>
      </c>
      <c r="H601" s="6">
        <v>52158.37</v>
      </c>
      <c r="I601" s="6">
        <v>365108.59</v>
      </c>
      <c r="J601" s="6">
        <v>333170.71</v>
      </c>
      <c r="K601" s="6">
        <v>31937.88</v>
      </c>
      <c r="L601" s="4" t="str">
        <f t="shared" si="1"/>
        <v>Jul-2025</v>
      </c>
    </row>
    <row r="602" ht="15.75" customHeight="1">
      <c r="A602" s="4" t="s">
        <v>889</v>
      </c>
      <c r="B602" s="5">
        <v>45847.0</v>
      </c>
      <c r="C602" s="4" t="s">
        <v>23</v>
      </c>
      <c r="D602" s="4" t="s">
        <v>24</v>
      </c>
      <c r="E602" s="4" t="s">
        <v>20</v>
      </c>
      <c r="F602" s="4" t="s">
        <v>138</v>
      </c>
      <c r="G602" s="4">
        <v>2.0</v>
      </c>
      <c r="H602" s="6">
        <v>9238.08</v>
      </c>
      <c r="I602" s="6">
        <v>18476.16</v>
      </c>
      <c r="J602" s="6">
        <v>15084.7</v>
      </c>
      <c r="K602" s="6">
        <v>3391.46</v>
      </c>
      <c r="L602" s="4" t="str">
        <f t="shared" si="1"/>
        <v>Jul-2025</v>
      </c>
    </row>
    <row r="603" ht="15.75" customHeight="1">
      <c r="A603" s="4" t="s">
        <v>890</v>
      </c>
      <c r="B603" s="5">
        <v>45847.0</v>
      </c>
      <c r="C603" s="4" t="s">
        <v>160</v>
      </c>
      <c r="D603" s="4" t="s">
        <v>42</v>
      </c>
      <c r="E603" s="4" t="s">
        <v>29</v>
      </c>
      <c r="F603" s="4" t="s">
        <v>891</v>
      </c>
      <c r="G603" s="4">
        <v>4.0</v>
      </c>
      <c r="H603" s="6">
        <v>718.52</v>
      </c>
      <c r="I603" s="6">
        <v>2874.08</v>
      </c>
      <c r="J603" s="6">
        <v>2365.65</v>
      </c>
      <c r="K603" s="6">
        <v>508.43</v>
      </c>
      <c r="L603" s="4" t="str">
        <f t="shared" si="1"/>
        <v>Jul-2025</v>
      </c>
    </row>
    <row r="604" ht="15.75" customHeight="1">
      <c r="A604" s="4" t="s">
        <v>892</v>
      </c>
      <c r="B604" s="5">
        <v>45848.0</v>
      </c>
      <c r="C604" s="4" t="s">
        <v>47</v>
      </c>
      <c r="D604" s="4" t="s">
        <v>14</v>
      </c>
      <c r="E604" s="4" t="s">
        <v>25</v>
      </c>
      <c r="F604" s="4" t="s">
        <v>219</v>
      </c>
      <c r="G604" s="4">
        <v>1.0</v>
      </c>
      <c r="H604" s="6">
        <v>1309.47</v>
      </c>
      <c r="I604" s="6">
        <v>1309.47</v>
      </c>
      <c r="J604" s="6">
        <v>1110.34</v>
      </c>
      <c r="K604" s="6">
        <v>199.13</v>
      </c>
      <c r="L604" s="4" t="str">
        <f t="shared" si="1"/>
        <v>Jul-2025</v>
      </c>
    </row>
    <row r="605" ht="15.75" customHeight="1">
      <c r="A605" s="4" t="s">
        <v>893</v>
      </c>
      <c r="B605" s="5">
        <v>45848.0</v>
      </c>
      <c r="C605" s="4" t="s">
        <v>38</v>
      </c>
      <c r="D605" s="4" t="s">
        <v>19</v>
      </c>
      <c r="E605" s="4" t="s">
        <v>25</v>
      </c>
      <c r="F605" s="4" t="s">
        <v>59</v>
      </c>
      <c r="G605" s="4">
        <v>7.0</v>
      </c>
      <c r="H605" s="6">
        <v>11873.44</v>
      </c>
      <c r="I605" s="6">
        <v>83114.08</v>
      </c>
      <c r="J605" s="6">
        <v>75196.3</v>
      </c>
      <c r="K605" s="6">
        <v>7917.78</v>
      </c>
      <c r="L605" s="4" t="str">
        <f t="shared" si="1"/>
        <v>Jul-2025</v>
      </c>
    </row>
    <row r="606" ht="15.75" customHeight="1">
      <c r="A606" s="4" t="s">
        <v>894</v>
      </c>
      <c r="B606" s="5">
        <v>45848.0</v>
      </c>
      <c r="C606" s="4" t="s">
        <v>140</v>
      </c>
      <c r="D606" s="4" t="s">
        <v>14</v>
      </c>
      <c r="E606" s="4" t="s">
        <v>25</v>
      </c>
      <c r="F606" s="4" t="s">
        <v>270</v>
      </c>
      <c r="G606" s="4">
        <v>3.0</v>
      </c>
      <c r="H606" s="6">
        <v>515.36</v>
      </c>
      <c r="I606" s="6">
        <v>1546.08</v>
      </c>
      <c r="J606" s="6">
        <v>1097.65</v>
      </c>
      <c r="K606" s="6">
        <v>448.43</v>
      </c>
      <c r="L606" s="4" t="str">
        <f t="shared" si="1"/>
        <v>Jul-2025</v>
      </c>
    </row>
    <row r="607" ht="15.75" customHeight="1">
      <c r="A607" s="4" t="s">
        <v>895</v>
      </c>
      <c r="B607" s="5">
        <v>45849.0</v>
      </c>
      <c r="C607" s="4" t="s">
        <v>75</v>
      </c>
      <c r="D607" s="4" t="s">
        <v>24</v>
      </c>
      <c r="E607" s="4" t="s">
        <v>15</v>
      </c>
      <c r="F607" s="4" t="s">
        <v>323</v>
      </c>
      <c r="G607" s="4">
        <v>3.0</v>
      </c>
      <c r="H607" s="6">
        <v>6556.17</v>
      </c>
      <c r="I607" s="6">
        <v>19668.51</v>
      </c>
      <c r="J607" s="6">
        <v>15167.57</v>
      </c>
      <c r="K607" s="6">
        <v>4500.94</v>
      </c>
      <c r="L607" s="4" t="str">
        <f t="shared" si="1"/>
        <v>Jul-2025</v>
      </c>
    </row>
    <row r="608" ht="15.75" customHeight="1">
      <c r="A608" s="4" t="s">
        <v>896</v>
      </c>
      <c r="B608" s="5">
        <v>45849.0</v>
      </c>
      <c r="C608" s="4" t="s">
        <v>38</v>
      </c>
      <c r="D608" s="4" t="s">
        <v>19</v>
      </c>
      <c r="E608" s="4" t="s">
        <v>15</v>
      </c>
      <c r="F608" s="4" t="s">
        <v>133</v>
      </c>
      <c r="G608" s="4">
        <v>6.0</v>
      </c>
      <c r="H608" s="6">
        <v>53376.04</v>
      </c>
      <c r="I608" s="6">
        <v>320256.24</v>
      </c>
      <c r="J608" s="6">
        <v>276435.94</v>
      </c>
      <c r="K608" s="6">
        <v>43820.3</v>
      </c>
      <c r="L608" s="4" t="str">
        <f t="shared" si="1"/>
        <v>Jul-2025</v>
      </c>
    </row>
    <row r="609" ht="15.75" customHeight="1">
      <c r="A609" s="4" t="s">
        <v>897</v>
      </c>
      <c r="B609" s="5">
        <v>45849.0</v>
      </c>
      <c r="C609" s="4" t="s">
        <v>23</v>
      </c>
      <c r="D609" s="4" t="s">
        <v>24</v>
      </c>
      <c r="E609" s="4" t="s">
        <v>25</v>
      </c>
      <c r="F609" s="4" t="s">
        <v>129</v>
      </c>
      <c r="G609" s="4">
        <v>6.0</v>
      </c>
      <c r="H609" s="6">
        <v>1792.15</v>
      </c>
      <c r="I609" s="6">
        <v>10752.9</v>
      </c>
      <c r="J609" s="6">
        <v>8647.04</v>
      </c>
      <c r="K609" s="6">
        <v>2105.86</v>
      </c>
      <c r="L609" s="4" t="str">
        <f t="shared" si="1"/>
        <v>Jul-2025</v>
      </c>
    </row>
    <row r="610" ht="15.75" customHeight="1">
      <c r="A610" s="4" t="s">
        <v>898</v>
      </c>
      <c r="B610" s="5">
        <v>45850.0</v>
      </c>
      <c r="C610" s="4" t="s">
        <v>61</v>
      </c>
      <c r="D610" s="4" t="s">
        <v>19</v>
      </c>
      <c r="E610" s="4" t="s">
        <v>20</v>
      </c>
      <c r="F610" s="4" t="s">
        <v>497</v>
      </c>
      <c r="G610" s="4">
        <v>7.0</v>
      </c>
      <c r="H610" s="6">
        <v>40545.98</v>
      </c>
      <c r="I610" s="6">
        <v>283821.86</v>
      </c>
      <c r="J610" s="6">
        <v>232014.55</v>
      </c>
      <c r="K610" s="6">
        <v>51807.31</v>
      </c>
      <c r="L610" s="4" t="str">
        <f t="shared" si="1"/>
        <v>Jul-2025</v>
      </c>
    </row>
    <row r="611" ht="15.75" customHeight="1">
      <c r="A611" s="4" t="s">
        <v>899</v>
      </c>
      <c r="B611" s="5">
        <v>45850.0</v>
      </c>
      <c r="C611" s="4" t="s">
        <v>28</v>
      </c>
      <c r="D611" s="4" t="s">
        <v>14</v>
      </c>
      <c r="E611" s="4" t="s">
        <v>20</v>
      </c>
      <c r="F611" s="4" t="s">
        <v>735</v>
      </c>
      <c r="G611" s="4">
        <v>4.0</v>
      </c>
      <c r="H611" s="6">
        <v>111.4</v>
      </c>
      <c r="I611" s="6">
        <v>445.6</v>
      </c>
      <c r="J611" s="6">
        <v>306.89</v>
      </c>
      <c r="K611" s="6">
        <v>138.71</v>
      </c>
      <c r="L611" s="4" t="str">
        <f t="shared" si="1"/>
        <v>Jul-2025</v>
      </c>
    </row>
    <row r="612" ht="15.75" customHeight="1">
      <c r="A612" s="4" t="s">
        <v>900</v>
      </c>
      <c r="B612" s="5">
        <v>45850.0</v>
      </c>
      <c r="C612" s="4" t="s">
        <v>180</v>
      </c>
      <c r="D612" s="4" t="s">
        <v>19</v>
      </c>
      <c r="E612" s="4" t="s">
        <v>29</v>
      </c>
      <c r="F612" s="4" t="s">
        <v>596</v>
      </c>
      <c r="G612" s="4">
        <v>7.0</v>
      </c>
      <c r="H612" s="6">
        <v>69315.14</v>
      </c>
      <c r="I612" s="6">
        <v>485205.98</v>
      </c>
      <c r="J612" s="6">
        <v>422089.54</v>
      </c>
      <c r="K612" s="6">
        <v>63116.44</v>
      </c>
      <c r="L612" s="4" t="str">
        <f t="shared" si="1"/>
        <v>Jul-2025</v>
      </c>
    </row>
    <row r="613" ht="15.75" customHeight="1">
      <c r="A613" s="4" t="s">
        <v>901</v>
      </c>
      <c r="B613" s="5">
        <v>45851.0</v>
      </c>
      <c r="C613" s="4" t="s">
        <v>69</v>
      </c>
      <c r="D613" s="4" t="s">
        <v>19</v>
      </c>
      <c r="E613" s="4" t="s">
        <v>15</v>
      </c>
      <c r="F613" s="4" t="s">
        <v>213</v>
      </c>
      <c r="G613" s="4">
        <v>3.0</v>
      </c>
      <c r="H613" s="6">
        <v>40181.69</v>
      </c>
      <c r="I613" s="6">
        <v>120545.07</v>
      </c>
      <c r="J613" s="6">
        <v>102369.27</v>
      </c>
      <c r="K613" s="6">
        <v>18175.8</v>
      </c>
      <c r="L613" s="4" t="str">
        <f t="shared" si="1"/>
        <v>Jul-2025</v>
      </c>
    </row>
    <row r="614" ht="15.75" customHeight="1">
      <c r="A614" s="4" t="s">
        <v>902</v>
      </c>
      <c r="B614" s="5">
        <v>45852.0</v>
      </c>
      <c r="C614" s="4" t="s">
        <v>38</v>
      </c>
      <c r="D614" s="4" t="s">
        <v>19</v>
      </c>
      <c r="E614" s="4" t="s">
        <v>25</v>
      </c>
      <c r="F614" s="4" t="s">
        <v>546</v>
      </c>
      <c r="G614" s="4">
        <v>2.0</v>
      </c>
      <c r="H614" s="6">
        <v>66806.59</v>
      </c>
      <c r="I614" s="6">
        <v>133613.18</v>
      </c>
      <c r="J614" s="6">
        <v>107789.57</v>
      </c>
      <c r="K614" s="6">
        <v>25823.61</v>
      </c>
      <c r="L614" s="4" t="str">
        <f t="shared" si="1"/>
        <v>Jul-2025</v>
      </c>
    </row>
    <row r="615" ht="15.75" customHeight="1">
      <c r="A615" s="4" t="s">
        <v>903</v>
      </c>
      <c r="B615" s="5">
        <v>45852.0</v>
      </c>
      <c r="C615" s="4" t="s">
        <v>69</v>
      </c>
      <c r="D615" s="4" t="s">
        <v>19</v>
      </c>
      <c r="E615" s="4" t="s">
        <v>15</v>
      </c>
      <c r="F615" s="4" t="s">
        <v>340</v>
      </c>
      <c r="G615" s="4">
        <v>6.0</v>
      </c>
      <c r="H615" s="6">
        <v>64882.17</v>
      </c>
      <c r="I615" s="6">
        <v>389293.02</v>
      </c>
      <c r="J615" s="6">
        <v>311583.48</v>
      </c>
      <c r="K615" s="6">
        <v>77709.54</v>
      </c>
      <c r="L615" s="4" t="str">
        <f t="shared" si="1"/>
        <v>Jul-2025</v>
      </c>
    </row>
    <row r="616" ht="15.75" customHeight="1">
      <c r="A616" s="4" t="s">
        <v>904</v>
      </c>
      <c r="B616" s="5">
        <v>45853.0</v>
      </c>
      <c r="C616" s="4" t="s">
        <v>75</v>
      </c>
      <c r="D616" s="4" t="s">
        <v>24</v>
      </c>
      <c r="E616" s="4" t="s">
        <v>29</v>
      </c>
      <c r="F616" s="4" t="s">
        <v>354</v>
      </c>
      <c r="G616" s="4">
        <v>5.0</v>
      </c>
      <c r="H616" s="6">
        <v>2538.4</v>
      </c>
      <c r="I616" s="6">
        <v>12692.0</v>
      </c>
      <c r="J616" s="6">
        <v>10822.64</v>
      </c>
      <c r="K616" s="6">
        <v>1869.36</v>
      </c>
      <c r="L616" s="4" t="str">
        <f t="shared" si="1"/>
        <v>Jul-2025</v>
      </c>
    </row>
    <row r="617" ht="15.75" customHeight="1">
      <c r="A617" s="4" t="s">
        <v>905</v>
      </c>
      <c r="B617" s="5">
        <v>45853.0</v>
      </c>
      <c r="C617" s="4" t="s">
        <v>38</v>
      </c>
      <c r="D617" s="4" t="s">
        <v>19</v>
      </c>
      <c r="E617" s="4" t="s">
        <v>29</v>
      </c>
      <c r="F617" s="4" t="s">
        <v>891</v>
      </c>
      <c r="G617" s="4">
        <v>7.0</v>
      </c>
      <c r="H617" s="6">
        <v>58112.9</v>
      </c>
      <c r="I617" s="6">
        <v>406790.3</v>
      </c>
      <c r="J617" s="6">
        <v>337085.54</v>
      </c>
      <c r="K617" s="6">
        <v>69704.76</v>
      </c>
      <c r="L617" s="4" t="str">
        <f t="shared" si="1"/>
        <v>Jul-2025</v>
      </c>
    </row>
    <row r="618" ht="15.75" customHeight="1">
      <c r="A618" s="4" t="s">
        <v>906</v>
      </c>
      <c r="B618" s="5">
        <v>45853.0</v>
      </c>
      <c r="C618" s="4" t="s">
        <v>140</v>
      </c>
      <c r="D618" s="4" t="s">
        <v>14</v>
      </c>
      <c r="E618" s="4" t="s">
        <v>25</v>
      </c>
      <c r="F618" s="4" t="s">
        <v>343</v>
      </c>
      <c r="G618" s="4">
        <v>7.0</v>
      </c>
      <c r="H618" s="6">
        <v>733.48</v>
      </c>
      <c r="I618" s="6">
        <v>5134.36</v>
      </c>
      <c r="J618" s="6">
        <v>4141.83</v>
      </c>
      <c r="K618" s="6">
        <v>992.53</v>
      </c>
      <c r="L618" s="4" t="str">
        <f t="shared" si="1"/>
        <v>Jul-2025</v>
      </c>
    </row>
    <row r="619" ht="15.75" customHeight="1">
      <c r="A619" s="4" t="s">
        <v>907</v>
      </c>
      <c r="B619" s="5">
        <v>45853.0</v>
      </c>
      <c r="C619" s="4" t="s">
        <v>47</v>
      </c>
      <c r="D619" s="4" t="s">
        <v>14</v>
      </c>
      <c r="E619" s="4" t="s">
        <v>15</v>
      </c>
      <c r="F619" s="4" t="s">
        <v>422</v>
      </c>
      <c r="G619" s="4">
        <v>3.0</v>
      </c>
      <c r="H619" s="6">
        <v>294.84</v>
      </c>
      <c r="I619" s="6">
        <v>884.52</v>
      </c>
      <c r="J619" s="6">
        <v>680.35</v>
      </c>
      <c r="K619" s="6">
        <v>204.17</v>
      </c>
      <c r="L619" s="4" t="str">
        <f t="shared" si="1"/>
        <v>Jul-2025</v>
      </c>
    </row>
    <row r="620" ht="15.75" customHeight="1">
      <c r="A620" s="4" t="s">
        <v>908</v>
      </c>
      <c r="B620" s="5">
        <v>45854.0</v>
      </c>
      <c r="C620" s="4" t="s">
        <v>41</v>
      </c>
      <c r="D620" s="4" t="s">
        <v>42</v>
      </c>
      <c r="E620" s="4" t="s">
        <v>20</v>
      </c>
      <c r="F620" s="4" t="s">
        <v>820</v>
      </c>
      <c r="G620" s="4">
        <v>4.0</v>
      </c>
      <c r="H620" s="6">
        <v>835.19</v>
      </c>
      <c r="I620" s="6">
        <v>3340.76</v>
      </c>
      <c r="J620" s="6">
        <v>2649.91</v>
      </c>
      <c r="K620" s="6">
        <v>690.85</v>
      </c>
      <c r="L620" s="4" t="str">
        <f t="shared" si="1"/>
        <v>Jul-2025</v>
      </c>
    </row>
    <row r="621" ht="15.75" customHeight="1">
      <c r="A621" s="4" t="s">
        <v>909</v>
      </c>
      <c r="B621" s="5">
        <v>45854.0</v>
      </c>
      <c r="C621" s="4" t="s">
        <v>23</v>
      </c>
      <c r="D621" s="4" t="s">
        <v>24</v>
      </c>
      <c r="E621" s="4" t="s">
        <v>20</v>
      </c>
      <c r="F621" s="4" t="s">
        <v>910</v>
      </c>
      <c r="G621" s="4">
        <v>4.0</v>
      </c>
      <c r="H621" s="6">
        <v>11136.15</v>
      </c>
      <c r="I621" s="6">
        <v>44544.6</v>
      </c>
      <c r="J621" s="6">
        <v>35323.6</v>
      </c>
      <c r="K621" s="6">
        <v>9221.0</v>
      </c>
      <c r="L621" s="4" t="str">
        <f t="shared" si="1"/>
        <v>Jul-2025</v>
      </c>
    </row>
    <row r="622" ht="15.75" customHeight="1">
      <c r="A622" s="4" t="s">
        <v>911</v>
      </c>
      <c r="B622" s="5">
        <v>45854.0</v>
      </c>
      <c r="C622" s="4" t="s">
        <v>109</v>
      </c>
      <c r="D622" s="4" t="s">
        <v>42</v>
      </c>
      <c r="E622" s="4" t="s">
        <v>20</v>
      </c>
      <c r="F622" s="4" t="s">
        <v>21</v>
      </c>
      <c r="G622" s="4">
        <v>2.0</v>
      </c>
      <c r="H622" s="6">
        <v>3746.56</v>
      </c>
      <c r="I622" s="6">
        <v>7493.12</v>
      </c>
      <c r="J622" s="6">
        <v>6627.74</v>
      </c>
      <c r="K622" s="6">
        <v>865.38</v>
      </c>
      <c r="L622" s="4" t="str">
        <f t="shared" si="1"/>
        <v>Jul-2025</v>
      </c>
    </row>
    <row r="623" ht="15.75" customHeight="1">
      <c r="A623" s="4" t="s">
        <v>912</v>
      </c>
      <c r="B623" s="5">
        <v>45855.0</v>
      </c>
      <c r="C623" s="4" t="s">
        <v>35</v>
      </c>
      <c r="D623" s="4" t="s">
        <v>14</v>
      </c>
      <c r="E623" s="4" t="s">
        <v>25</v>
      </c>
      <c r="F623" s="4" t="s">
        <v>427</v>
      </c>
      <c r="G623" s="4">
        <v>5.0</v>
      </c>
      <c r="H623" s="6">
        <v>1122.39</v>
      </c>
      <c r="I623" s="6">
        <v>5611.95</v>
      </c>
      <c r="J623" s="6">
        <v>4741.2</v>
      </c>
      <c r="K623" s="6">
        <v>870.75</v>
      </c>
      <c r="L623" s="4" t="str">
        <f t="shared" si="1"/>
        <v>Jul-2025</v>
      </c>
    </row>
    <row r="624" ht="15.75" customHeight="1">
      <c r="A624" s="4" t="s">
        <v>913</v>
      </c>
      <c r="B624" s="5">
        <v>45855.0</v>
      </c>
      <c r="C624" s="4" t="s">
        <v>41</v>
      </c>
      <c r="D624" s="4" t="s">
        <v>42</v>
      </c>
      <c r="E624" s="4" t="s">
        <v>29</v>
      </c>
      <c r="F624" s="4" t="s">
        <v>227</v>
      </c>
      <c r="G624" s="4">
        <v>7.0</v>
      </c>
      <c r="H624" s="6">
        <v>800.6</v>
      </c>
      <c r="I624" s="6">
        <v>5604.2</v>
      </c>
      <c r="J624" s="6">
        <v>5000.16</v>
      </c>
      <c r="K624" s="6">
        <v>604.04</v>
      </c>
      <c r="L624" s="4" t="str">
        <f t="shared" si="1"/>
        <v>Jul-2025</v>
      </c>
    </row>
    <row r="625" ht="15.75" customHeight="1">
      <c r="A625" s="4" t="s">
        <v>914</v>
      </c>
      <c r="B625" s="5">
        <v>45855.0</v>
      </c>
      <c r="C625" s="4" t="s">
        <v>72</v>
      </c>
      <c r="D625" s="4" t="s">
        <v>24</v>
      </c>
      <c r="E625" s="4" t="s">
        <v>25</v>
      </c>
      <c r="F625" s="4" t="s">
        <v>297</v>
      </c>
      <c r="G625" s="4">
        <v>7.0</v>
      </c>
      <c r="H625" s="6">
        <v>2262.01</v>
      </c>
      <c r="I625" s="6">
        <v>15834.07</v>
      </c>
      <c r="J625" s="6">
        <v>13121.3</v>
      </c>
      <c r="K625" s="6">
        <v>2712.77</v>
      </c>
      <c r="L625" s="4" t="str">
        <f t="shared" si="1"/>
        <v>Jul-2025</v>
      </c>
    </row>
    <row r="626" ht="15.75" customHeight="1">
      <c r="A626" s="4" t="s">
        <v>915</v>
      </c>
      <c r="B626" s="5">
        <v>45855.0</v>
      </c>
      <c r="C626" s="4" t="s">
        <v>69</v>
      </c>
      <c r="D626" s="4" t="s">
        <v>19</v>
      </c>
      <c r="E626" s="4" t="s">
        <v>15</v>
      </c>
      <c r="F626" s="4" t="s">
        <v>510</v>
      </c>
      <c r="G626" s="4">
        <v>1.0</v>
      </c>
      <c r="H626" s="6">
        <v>50147.15</v>
      </c>
      <c r="I626" s="6">
        <v>50147.15</v>
      </c>
      <c r="J626" s="6">
        <v>42786.08</v>
      </c>
      <c r="K626" s="6">
        <v>7361.07</v>
      </c>
      <c r="L626" s="4" t="str">
        <f t="shared" si="1"/>
        <v>Jul-2025</v>
      </c>
    </row>
    <row r="627" ht="15.75" customHeight="1">
      <c r="A627" s="4" t="s">
        <v>916</v>
      </c>
      <c r="B627" s="5">
        <v>45856.0</v>
      </c>
      <c r="C627" s="4" t="s">
        <v>32</v>
      </c>
      <c r="D627" s="4" t="s">
        <v>19</v>
      </c>
      <c r="E627" s="4" t="s">
        <v>25</v>
      </c>
      <c r="F627" s="4" t="s">
        <v>30</v>
      </c>
      <c r="G627" s="4">
        <v>2.0</v>
      </c>
      <c r="H627" s="6">
        <v>39511.02</v>
      </c>
      <c r="I627" s="6">
        <v>79022.04</v>
      </c>
      <c r="J627" s="6">
        <v>70209.47</v>
      </c>
      <c r="K627" s="6">
        <v>8812.57</v>
      </c>
      <c r="L627" s="4" t="str">
        <f t="shared" si="1"/>
        <v>Jul-2025</v>
      </c>
    </row>
    <row r="628" ht="15.75" customHeight="1">
      <c r="A628" s="4" t="s">
        <v>917</v>
      </c>
      <c r="B628" s="5">
        <v>45856.0</v>
      </c>
      <c r="C628" s="4" t="s">
        <v>180</v>
      </c>
      <c r="D628" s="4" t="s">
        <v>19</v>
      </c>
      <c r="E628" s="4" t="s">
        <v>25</v>
      </c>
      <c r="F628" s="4" t="s">
        <v>55</v>
      </c>
      <c r="G628" s="4">
        <v>2.0</v>
      </c>
      <c r="H628" s="6">
        <v>18922.14</v>
      </c>
      <c r="I628" s="6">
        <v>37844.28</v>
      </c>
      <c r="J628" s="6">
        <v>32272.0</v>
      </c>
      <c r="K628" s="6">
        <v>5572.28</v>
      </c>
      <c r="L628" s="4" t="str">
        <f t="shared" si="1"/>
        <v>Jul-2025</v>
      </c>
    </row>
    <row r="629" ht="15.75" customHeight="1">
      <c r="A629" s="4" t="s">
        <v>918</v>
      </c>
      <c r="B629" s="5">
        <v>45856.0</v>
      </c>
      <c r="C629" s="4" t="s">
        <v>35</v>
      </c>
      <c r="D629" s="4" t="s">
        <v>14</v>
      </c>
      <c r="E629" s="4" t="s">
        <v>25</v>
      </c>
      <c r="F629" s="4" t="s">
        <v>48</v>
      </c>
      <c r="G629" s="4">
        <v>5.0</v>
      </c>
      <c r="H629" s="6">
        <v>1308.17</v>
      </c>
      <c r="I629" s="6">
        <v>6540.85</v>
      </c>
      <c r="J629" s="6">
        <v>4696.99</v>
      </c>
      <c r="K629" s="6">
        <v>1843.86</v>
      </c>
      <c r="L629" s="4" t="str">
        <f t="shared" si="1"/>
        <v>Jul-2025</v>
      </c>
    </row>
    <row r="630" ht="15.75" customHeight="1">
      <c r="A630" s="4" t="s">
        <v>919</v>
      </c>
      <c r="B630" s="5">
        <v>45857.0</v>
      </c>
      <c r="C630" s="4" t="s">
        <v>23</v>
      </c>
      <c r="D630" s="4" t="s">
        <v>24</v>
      </c>
      <c r="E630" s="4" t="s">
        <v>29</v>
      </c>
      <c r="F630" s="4" t="s">
        <v>668</v>
      </c>
      <c r="G630" s="4">
        <v>5.0</v>
      </c>
      <c r="H630" s="6">
        <v>11710.94</v>
      </c>
      <c r="I630" s="6">
        <v>58554.7</v>
      </c>
      <c r="J630" s="6">
        <v>48732.68</v>
      </c>
      <c r="K630" s="6">
        <v>9822.02</v>
      </c>
      <c r="L630" s="4" t="str">
        <f t="shared" si="1"/>
        <v>Jul-2025</v>
      </c>
    </row>
    <row r="631" ht="15.75" customHeight="1">
      <c r="A631" s="4" t="s">
        <v>920</v>
      </c>
      <c r="B631" s="5">
        <v>45857.0</v>
      </c>
      <c r="C631" s="4" t="s">
        <v>75</v>
      </c>
      <c r="D631" s="4" t="s">
        <v>24</v>
      </c>
      <c r="E631" s="4" t="s">
        <v>25</v>
      </c>
      <c r="F631" s="4" t="s">
        <v>181</v>
      </c>
      <c r="G631" s="4">
        <v>2.0</v>
      </c>
      <c r="H631" s="6">
        <v>4410.13</v>
      </c>
      <c r="I631" s="6">
        <v>8820.26</v>
      </c>
      <c r="J631" s="6">
        <v>6503.77</v>
      </c>
      <c r="K631" s="6">
        <v>2316.49</v>
      </c>
      <c r="L631" s="4" t="str">
        <f t="shared" si="1"/>
        <v>Jul-2025</v>
      </c>
    </row>
    <row r="632" ht="15.75" customHeight="1">
      <c r="A632" s="4" t="s">
        <v>921</v>
      </c>
      <c r="B632" s="5">
        <v>45857.0</v>
      </c>
      <c r="C632" s="4" t="s">
        <v>13</v>
      </c>
      <c r="D632" s="4" t="s">
        <v>14</v>
      </c>
      <c r="E632" s="4" t="s">
        <v>15</v>
      </c>
      <c r="F632" s="4" t="s">
        <v>735</v>
      </c>
      <c r="G632" s="4">
        <v>7.0</v>
      </c>
      <c r="H632" s="6">
        <v>814.48</v>
      </c>
      <c r="I632" s="6">
        <v>5701.36</v>
      </c>
      <c r="J632" s="6">
        <v>4518.05</v>
      </c>
      <c r="K632" s="6">
        <v>1183.31</v>
      </c>
      <c r="L632" s="4" t="str">
        <f t="shared" si="1"/>
        <v>Jul-2025</v>
      </c>
    </row>
    <row r="633" ht="15.75" customHeight="1">
      <c r="A633" s="4" t="s">
        <v>922</v>
      </c>
      <c r="B633" s="5">
        <v>45857.0</v>
      </c>
      <c r="C633" s="4" t="s">
        <v>109</v>
      </c>
      <c r="D633" s="4" t="s">
        <v>42</v>
      </c>
      <c r="E633" s="4" t="s">
        <v>15</v>
      </c>
      <c r="F633" s="4" t="s">
        <v>315</v>
      </c>
      <c r="G633" s="4">
        <v>6.0</v>
      </c>
      <c r="H633" s="6">
        <v>886.41</v>
      </c>
      <c r="I633" s="6">
        <v>5318.46</v>
      </c>
      <c r="J633" s="6">
        <v>4717.19</v>
      </c>
      <c r="K633" s="6">
        <v>601.27</v>
      </c>
      <c r="L633" s="4" t="str">
        <f t="shared" si="1"/>
        <v>Jul-2025</v>
      </c>
    </row>
    <row r="634" ht="15.75" customHeight="1">
      <c r="A634" s="4" t="s">
        <v>923</v>
      </c>
      <c r="B634" s="5">
        <v>45858.0</v>
      </c>
      <c r="C634" s="4" t="s">
        <v>47</v>
      </c>
      <c r="D634" s="4" t="s">
        <v>14</v>
      </c>
      <c r="E634" s="4" t="s">
        <v>25</v>
      </c>
      <c r="F634" s="4" t="s">
        <v>452</v>
      </c>
      <c r="G634" s="4">
        <v>7.0</v>
      </c>
      <c r="H634" s="6">
        <v>653.61</v>
      </c>
      <c r="I634" s="6">
        <v>4575.27</v>
      </c>
      <c r="J634" s="6">
        <v>3833.18</v>
      </c>
      <c r="K634" s="6">
        <v>742.09</v>
      </c>
      <c r="L634" s="4" t="str">
        <f t="shared" si="1"/>
        <v>Jul-2025</v>
      </c>
    </row>
    <row r="635" ht="15.75" customHeight="1">
      <c r="A635" s="4" t="s">
        <v>924</v>
      </c>
      <c r="B635" s="5">
        <v>45858.0</v>
      </c>
      <c r="C635" s="4" t="s">
        <v>155</v>
      </c>
      <c r="D635" s="4" t="s">
        <v>24</v>
      </c>
      <c r="E635" s="4" t="s">
        <v>15</v>
      </c>
      <c r="F635" s="4" t="s">
        <v>727</v>
      </c>
      <c r="G635" s="4">
        <v>2.0</v>
      </c>
      <c r="H635" s="6">
        <v>10274.3</v>
      </c>
      <c r="I635" s="6">
        <v>20548.6</v>
      </c>
      <c r="J635" s="6">
        <v>15792.81</v>
      </c>
      <c r="K635" s="6">
        <v>4755.79</v>
      </c>
      <c r="L635" s="4" t="str">
        <f t="shared" si="1"/>
        <v>Jul-2025</v>
      </c>
    </row>
    <row r="636" ht="15.75" customHeight="1">
      <c r="A636" s="4" t="s">
        <v>925</v>
      </c>
      <c r="B636" s="5">
        <v>45858.0</v>
      </c>
      <c r="C636" s="4" t="s">
        <v>23</v>
      </c>
      <c r="D636" s="4" t="s">
        <v>24</v>
      </c>
      <c r="E636" s="4" t="s">
        <v>29</v>
      </c>
      <c r="F636" s="4" t="s">
        <v>926</v>
      </c>
      <c r="G636" s="4">
        <v>4.0</v>
      </c>
      <c r="H636" s="6">
        <v>15725.94</v>
      </c>
      <c r="I636" s="6">
        <v>62903.76</v>
      </c>
      <c r="J636" s="6">
        <v>45735.32</v>
      </c>
      <c r="K636" s="6">
        <v>17168.44</v>
      </c>
      <c r="L636" s="4" t="str">
        <f t="shared" si="1"/>
        <v>Jul-2025</v>
      </c>
    </row>
    <row r="637" ht="15.75" customHeight="1">
      <c r="A637" s="4" t="s">
        <v>927</v>
      </c>
      <c r="B637" s="5">
        <v>45858.0</v>
      </c>
      <c r="C637" s="4" t="s">
        <v>61</v>
      </c>
      <c r="D637" s="4" t="s">
        <v>19</v>
      </c>
      <c r="E637" s="4" t="s">
        <v>29</v>
      </c>
      <c r="F637" s="4" t="s">
        <v>315</v>
      </c>
      <c r="G637" s="4">
        <v>4.0</v>
      </c>
      <c r="H637" s="6">
        <v>60936.85</v>
      </c>
      <c r="I637" s="6">
        <v>243747.4</v>
      </c>
      <c r="J637" s="6">
        <v>200027.12</v>
      </c>
      <c r="K637" s="6">
        <v>43720.28</v>
      </c>
      <c r="L637" s="4" t="str">
        <f t="shared" si="1"/>
        <v>Jul-2025</v>
      </c>
    </row>
    <row r="638" ht="15.75" customHeight="1">
      <c r="A638" s="4" t="s">
        <v>928</v>
      </c>
      <c r="B638" s="5">
        <v>45859.0</v>
      </c>
      <c r="C638" s="4" t="s">
        <v>180</v>
      </c>
      <c r="D638" s="4" t="s">
        <v>19</v>
      </c>
      <c r="E638" s="4" t="s">
        <v>15</v>
      </c>
      <c r="F638" s="4" t="s">
        <v>713</v>
      </c>
      <c r="G638" s="4">
        <v>4.0</v>
      </c>
      <c r="H638" s="6">
        <v>14253.89</v>
      </c>
      <c r="I638" s="6">
        <v>57015.56</v>
      </c>
      <c r="J638" s="6">
        <v>49801.9</v>
      </c>
      <c r="K638" s="6">
        <v>7213.66</v>
      </c>
      <c r="L638" s="4" t="str">
        <f t="shared" si="1"/>
        <v>Jul-2025</v>
      </c>
    </row>
    <row r="639" ht="15.75" customHeight="1">
      <c r="A639" s="4" t="s">
        <v>929</v>
      </c>
      <c r="B639" s="5">
        <v>45859.0</v>
      </c>
      <c r="C639" s="4" t="s">
        <v>61</v>
      </c>
      <c r="D639" s="4" t="s">
        <v>19</v>
      </c>
      <c r="E639" s="4" t="s">
        <v>25</v>
      </c>
      <c r="F639" s="4" t="s">
        <v>641</v>
      </c>
      <c r="G639" s="4">
        <v>7.0</v>
      </c>
      <c r="H639" s="6">
        <v>47190.7</v>
      </c>
      <c r="I639" s="6">
        <v>330334.9</v>
      </c>
      <c r="J639" s="6">
        <v>264807.73</v>
      </c>
      <c r="K639" s="6">
        <v>65527.17</v>
      </c>
      <c r="L639" s="4" t="str">
        <f t="shared" si="1"/>
        <v>Jul-2025</v>
      </c>
    </row>
    <row r="640" ht="15.75" customHeight="1">
      <c r="A640" s="4" t="s">
        <v>930</v>
      </c>
      <c r="B640" s="5">
        <v>45859.0</v>
      </c>
      <c r="C640" s="4" t="s">
        <v>102</v>
      </c>
      <c r="D640" s="4" t="s">
        <v>24</v>
      </c>
      <c r="E640" s="4" t="s">
        <v>25</v>
      </c>
      <c r="F640" s="4" t="s">
        <v>434</v>
      </c>
      <c r="G640" s="4">
        <v>1.0</v>
      </c>
      <c r="H640" s="6">
        <v>5767.27</v>
      </c>
      <c r="I640" s="6">
        <v>5767.27</v>
      </c>
      <c r="J640" s="6">
        <v>4386.15</v>
      </c>
      <c r="K640" s="6">
        <v>1381.12</v>
      </c>
      <c r="L640" s="4" t="str">
        <f t="shared" si="1"/>
        <v>Jul-2025</v>
      </c>
    </row>
    <row r="641" ht="15.75" customHeight="1">
      <c r="A641" s="4" t="s">
        <v>931</v>
      </c>
      <c r="B641" s="5">
        <v>45859.0</v>
      </c>
      <c r="C641" s="4" t="s">
        <v>180</v>
      </c>
      <c r="D641" s="4" t="s">
        <v>19</v>
      </c>
      <c r="E641" s="4" t="s">
        <v>20</v>
      </c>
      <c r="F641" s="4" t="s">
        <v>315</v>
      </c>
      <c r="G641" s="4">
        <v>6.0</v>
      </c>
      <c r="H641" s="6">
        <v>41445.62</v>
      </c>
      <c r="I641" s="6">
        <v>248673.72</v>
      </c>
      <c r="J641" s="6">
        <v>199566.9</v>
      </c>
      <c r="K641" s="6">
        <v>49106.82</v>
      </c>
      <c r="L641" s="4" t="str">
        <f t="shared" si="1"/>
        <v>Jul-2025</v>
      </c>
    </row>
    <row r="642" ht="15.75" customHeight="1">
      <c r="A642" s="4" t="s">
        <v>932</v>
      </c>
      <c r="B642" s="5">
        <v>45860.0</v>
      </c>
      <c r="C642" s="4" t="s">
        <v>18</v>
      </c>
      <c r="D642" s="4" t="s">
        <v>19</v>
      </c>
      <c r="E642" s="4" t="s">
        <v>29</v>
      </c>
      <c r="F642" s="4" t="s">
        <v>573</v>
      </c>
      <c r="G642" s="4">
        <v>5.0</v>
      </c>
      <c r="H642" s="6">
        <v>31065.88</v>
      </c>
      <c r="I642" s="6">
        <v>155329.4</v>
      </c>
      <c r="J642" s="6">
        <v>136420.55</v>
      </c>
      <c r="K642" s="6">
        <v>18908.85</v>
      </c>
      <c r="L642" s="4" t="str">
        <f t="shared" si="1"/>
        <v>Jul-2025</v>
      </c>
    </row>
    <row r="643" ht="15.75" customHeight="1">
      <c r="A643" s="4" t="s">
        <v>933</v>
      </c>
      <c r="B643" s="5">
        <v>45860.0</v>
      </c>
      <c r="C643" s="4" t="s">
        <v>23</v>
      </c>
      <c r="D643" s="4" t="s">
        <v>24</v>
      </c>
      <c r="E643" s="4" t="s">
        <v>29</v>
      </c>
      <c r="F643" s="4" t="s">
        <v>321</v>
      </c>
      <c r="G643" s="4">
        <v>4.0</v>
      </c>
      <c r="H643" s="6">
        <v>10281.68</v>
      </c>
      <c r="I643" s="6">
        <v>41126.72</v>
      </c>
      <c r="J643" s="6">
        <v>32749.39</v>
      </c>
      <c r="K643" s="6">
        <v>8377.33</v>
      </c>
      <c r="L643" s="4" t="str">
        <f t="shared" si="1"/>
        <v>Jul-2025</v>
      </c>
    </row>
    <row r="644" ht="15.75" customHeight="1">
      <c r="A644" s="4" t="s">
        <v>934</v>
      </c>
      <c r="B644" s="5">
        <v>45860.0</v>
      </c>
      <c r="C644" s="4" t="s">
        <v>69</v>
      </c>
      <c r="D644" s="4" t="s">
        <v>19</v>
      </c>
      <c r="E644" s="4" t="s">
        <v>29</v>
      </c>
      <c r="F644" s="4" t="s">
        <v>352</v>
      </c>
      <c r="G644" s="4">
        <v>4.0</v>
      </c>
      <c r="H644" s="6">
        <v>62286.05</v>
      </c>
      <c r="I644" s="6">
        <v>249144.2</v>
      </c>
      <c r="J644" s="6">
        <v>205789.04</v>
      </c>
      <c r="K644" s="6">
        <v>43355.16</v>
      </c>
      <c r="L644" s="4" t="str">
        <f t="shared" si="1"/>
        <v>Jul-2025</v>
      </c>
    </row>
    <row r="645" ht="15.75" customHeight="1">
      <c r="A645" s="4" t="s">
        <v>935</v>
      </c>
      <c r="B645" s="5">
        <v>45860.0</v>
      </c>
      <c r="C645" s="4" t="s">
        <v>102</v>
      </c>
      <c r="D645" s="4" t="s">
        <v>24</v>
      </c>
      <c r="E645" s="4" t="s">
        <v>20</v>
      </c>
      <c r="F645" s="4" t="s">
        <v>268</v>
      </c>
      <c r="G645" s="4">
        <v>7.0</v>
      </c>
      <c r="H645" s="6">
        <v>10584.06</v>
      </c>
      <c r="I645" s="6">
        <v>74088.42</v>
      </c>
      <c r="J645" s="6">
        <v>58996.22</v>
      </c>
      <c r="K645" s="6">
        <v>15092.2</v>
      </c>
      <c r="L645" s="4" t="str">
        <f t="shared" si="1"/>
        <v>Jul-2025</v>
      </c>
    </row>
    <row r="646" ht="15.75" customHeight="1">
      <c r="A646" s="4" t="s">
        <v>936</v>
      </c>
      <c r="B646" s="5">
        <v>45860.0</v>
      </c>
      <c r="C646" s="4" t="s">
        <v>61</v>
      </c>
      <c r="D646" s="4" t="s">
        <v>19</v>
      </c>
      <c r="E646" s="4" t="s">
        <v>29</v>
      </c>
      <c r="F646" s="4" t="s">
        <v>73</v>
      </c>
      <c r="G646" s="4">
        <v>7.0</v>
      </c>
      <c r="H646" s="6">
        <v>18657.75</v>
      </c>
      <c r="I646" s="6">
        <v>130604.25</v>
      </c>
      <c r="J646" s="6">
        <v>106453.32</v>
      </c>
      <c r="K646" s="6">
        <v>24150.93</v>
      </c>
      <c r="L646" s="4" t="str">
        <f t="shared" si="1"/>
        <v>Jul-2025</v>
      </c>
    </row>
    <row r="647" ht="15.75" customHeight="1">
      <c r="A647" s="4" t="s">
        <v>937</v>
      </c>
      <c r="B647" s="5">
        <v>45860.0</v>
      </c>
      <c r="C647" s="4" t="s">
        <v>140</v>
      </c>
      <c r="D647" s="4" t="s">
        <v>14</v>
      </c>
      <c r="E647" s="4" t="s">
        <v>29</v>
      </c>
      <c r="F647" s="4" t="s">
        <v>181</v>
      </c>
      <c r="G647" s="4">
        <v>7.0</v>
      </c>
      <c r="H647" s="6">
        <v>793.03</v>
      </c>
      <c r="I647" s="6">
        <v>5551.21</v>
      </c>
      <c r="J647" s="6">
        <v>4000.0</v>
      </c>
      <c r="K647" s="6">
        <v>1551.21</v>
      </c>
      <c r="L647" s="4" t="str">
        <f t="shared" si="1"/>
        <v>Jul-2025</v>
      </c>
    </row>
    <row r="648" ht="15.75" customHeight="1">
      <c r="A648" s="4" t="s">
        <v>938</v>
      </c>
      <c r="B648" s="5">
        <v>45861.0</v>
      </c>
      <c r="C648" s="4" t="s">
        <v>18</v>
      </c>
      <c r="D648" s="4" t="s">
        <v>19</v>
      </c>
      <c r="E648" s="4" t="s">
        <v>15</v>
      </c>
      <c r="F648" s="4" t="s">
        <v>76</v>
      </c>
      <c r="G648" s="4">
        <v>2.0</v>
      </c>
      <c r="H648" s="6">
        <v>11274.52</v>
      </c>
      <c r="I648" s="6">
        <v>22549.04</v>
      </c>
      <c r="J648" s="6">
        <v>20675.9</v>
      </c>
      <c r="K648" s="6">
        <v>1873.14</v>
      </c>
      <c r="L648" s="4" t="str">
        <f t="shared" si="1"/>
        <v>Jul-2025</v>
      </c>
    </row>
    <row r="649" ht="15.75" customHeight="1">
      <c r="A649" s="4" t="s">
        <v>939</v>
      </c>
      <c r="B649" s="5">
        <v>45861.0</v>
      </c>
      <c r="C649" s="4" t="s">
        <v>38</v>
      </c>
      <c r="D649" s="4" t="s">
        <v>19</v>
      </c>
      <c r="E649" s="4" t="s">
        <v>15</v>
      </c>
      <c r="F649" s="4" t="s">
        <v>384</v>
      </c>
      <c r="G649" s="4">
        <v>6.0</v>
      </c>
      <c r="H649" s="6">
        <v>21863.76</v>
      </c>
      <c r="I649" s="6">
        <v>131182.56</v>
      </c>
      <c r="J649" s="6">
        <v>113095.77</v>
      </c>
      <c r="K649" s="6">
        <v>18086.79</v>
      </c>
      <c r="L649" s="4" t="str">
        <f t="shared" si="1"/>
        <v>Jul-2025</v>
      </c>
    </row>
    <row r="650" ht="15.75" customHeight="1">
      <c r="A650" s="4" t="s">
        <v>940</v>
      </c>
      <c r="B650" s="5">
        <v>45861.0</v>
      </c>
      <c r="C650" s="4" t="s">
        <v>160</v>
      </c>
      <c r="D650" s="4" t="s">
        <v>42</v>
      </c>
      <c r="E650" s="4" t="s">
        <v>29</v>
      </c>
      <c r="F650" s="4" t="s">
        <v>51</v>
      </c>
      <c r="G650" s="4">
        <v>2.0</v>
      </c>
      <c r="H650" s="6">
        <v>3201.46</v>
      </c>
      <c r="I650" s="6">
        <v>6402.92</v>
      </c>
      <c r="J650" s="6">
        <v>5127.95</v>
      </c>
      <c r="K650" s="6">
        <v>1274.97</v>
      </c>
      <c r="L650" s="4" t="str">
        <f t="shared" si="1"/>
        <v>Jul-2025</v>
      </c>
    </row>
    <row r="651" ht="15.75" customHeight="1">
      <c r="A651" s="4" t="s">
        <v>941</v>
      </c>
      <c r="B651" s="5">
        <v>45861.0</v>
      </c>
      <c r="C651" s="4" t="s">
        <v>109</v>
      </c>
      <c r="D651" s="4" t="s">
        <v>42</v>
      </c>
      <c r="E651" s="4" t="s">
        <v>29</v>
      </c>
      <c r="F651" s="4" t="s">
        <v>325</v>
      </c>
      <c r="G651" s="4">
        <v>3.0</v>
      </c>
      <c r="H651" s="6">
        <v>3053.1</v>
      </c>
      <c r="I651" s="6">
        <v>9159.3</v>
      </c>
      <c r="J651" s="6">
        <v>7732.51</v>
      </c>
      <c r="K651" s="6">
        <v>1426.79</v>
      </c>
      <c r="L651" s="4" t="str">
        <f t="shared" si="1"/>
        <v>Jul-2025</v>
      </c>
    </row>
    <row r="652" ht="15.75" customHeight="1">
      <c r="A652" s="4" t="s">
        <v>942</v>
      </c>
      <c r="B652" s="5">
        <v>45862.0</v>
      </c>
      <c r="C652" s="4" t="s">
        <v>160</v>
      </c>
      <c r="D652" s="4" t="s">
        <v>42</v>
      </c>
      <c r="E652" s="4" t="s">
        <v>20</v>
      </c>
      <c r="F652" s="4" t="s">
        <v>643</v>
      </c>
      <c r="G652" s="4">
        <v>3.0</v>
      </c>
      <c r="H652" s="6">
        <v>422.04</v>
      </c>
      <c r="I652" s="6">
        <v>1266.12</v>
      </c>
      <c r="J652" s="6">
        <v>1103.07</v>
      </c>
      <c r="K652" s="6">
        <v>163.05</v>
      </c>
      <c r="L652" s="4" t="str">
        <f t="shared" si="1"/>
        <v>Jul-2025</v>
      </c>
    </row>
    <row r="653" ht="15.75" customHeight="1">
      <c r="A653" s="4" t="s">
        <v>943</v>
      </c>
      <c r="B653" s="5">
        <v>45862.0</v>
      </c>
      <c r="C653" s="4" t="s">
        <v>32</v>
      </c>
      <c r="D653" s="4" t="s">
        <v>19</v>
      </c>
      <c r="E653" s="4" t="s">
        <v>29</v>
      </c>
      <c r="F653" s="4" t="s">
        <v>522</v>
      </c>
      <c r="G653" s="4">
        <v>7.0</v>
      </c>
      <c r="H653" s="6">
        <v>50635.86</v>
      </c>
      <c r="I653" s="6">
        <v>354451.02</v>
      </c>
      <c r="J653" s="6">
        <v>301331.2</v>
      </c>
      <c r="K653" s="6">
        <v>53119.82</v>
      </c>
      <c r="L653" s="4" t="str">
        <f t="shared" si="1"/>
        <v>Jul-2025</v>
      </c>
    </row>
    <row r="654" ht="15.75" customHeight="1">
      <c r="A654" s="4" t="s">
        <v>944</v>
      </c>
      <c r="B654" s="5">
        <v>45862.0</v>
      </c>
      <c r="C654" s="4" t="s">
        <v>180</v>
      </c>
      <c r="D654" s="4" t="s">
        <v>19</v>
      </c>
      <c r="E654" s="4" t="s">
        <v>20</v>
      </c>
      <c r="F654" s="4" t="s">
        <v>945</v>
      </c>
      <c r="G654" s="4">
        <v>1.0</v>
      </c>
      <c r="H654" s="6">
        <v>50640.19</v>
      </c>
      <c r="I654" s="6">
        <v>50640.19</v>
      </c>
      <c r="J654" s="6">
        <v>42832.72</v>
      </c>
      <c r="K654" s="6">
        <v>7807.47</v>
      </c>
      <c r="L654" s="4" t="str">
        <f t="shared" si="1"/>
        <v>Jul-2025</v>
      </c>
    </row>
    <row r="655" ht="15.75" customHeight="1">
      <c r="A655" s="4" t="s">
        <v>946</v>
      </c>
      <c r="B655" s="5">
        <v>45863.0</v>
      </c>
      <c r="C655" s="4" t="s">
        <v>92</v>
      </c>
      <c r="D655" s="4" t="s">
        <v>14</v>
      </c>
      <c r="E655" s="4" t="s">
        <v>20</v>
      </c>
      <c r="F655" s="4" t="s">
        <v>266</v>
      </c>
      <c r="G655" s="4">
        <v>3.0</v>
      </c>
      <c r="H655" s="6">
        <v>1499.34</v>
      </c>
      <c r="I655" s="6">
        <v>4498.02</v>
      </c>
      <c r="J655" s="6">
        <v>3240.27</v>
      </c>
      <c r="K655" s="6">
        <v>1257.75</v>
      </c>
      <c r="L655" s="4" t="str">
        <f t="shared" si="1"/>
        <v>Jul-2025</v>
      </c>
    </row>
    <row r="656" ht="15.75" customHeight="1">
      <c r="A656" s="4" t="s">
        <v>947</v>
      </c>
      <c r="B656" s="5">
        <v>45863.0</v>
      </c>
      <c r="C656" s="4" t="s">
        <v>140</v>
      </c>
      <c r="D656" s="4" t="s">
        <v>14</v>
      </c>
      <c r="E656" s="4" t="s">
        <v>20</v>
      </c>
      <c r="F656" s="4" t="s">
        <v>245</v>
      </c>
      <c r="G656" s="4">
        <v>4.0</v>
      </c>
      <c r="H656" s="6">
        <v>1087.3</v>
      </c>
      <c r="I656" s="6">
        <v>4349.2</v>
      </c>
      <c r="J656" s="6">
        <v>3689.76</v>
      </c>
      <c r="K656" s="6">
        <v>659.44</v>
      </c>
      <c r="L656" s="4" t="str">
        <f t="shared" si="1"/>
        <v>Jul-2025</v>
      </c>
    </row>
    <row r="657" ht="15.75" customHeight="1">
      <c r="A657" s="4" t="s">
        <v>948</v>
      </c>
      <c r="B657" s="5">
        <v>45863.0</v>
      </c>
      <c r="C657" s="4" t="s">
        <v>18</v>
      </c>
      <c r="D657" s="4" t="s">
        <v>19</v>
      </c>
      <c r="E657" s="4" t="s">
        <v>25</v>
      </c>
      <c r="F657" s="4" t="s">
        <v>229</v>
      </c>
      <c r="G657" s="4">
        <v>7.0</v>
      </c>
      <c r="H657" s="6">
        <v>72137.11</v>
      </c>
      <c r="I657" s="6">
        <v>504959.77</v>
      </c>
      <c r="J657" s="6">
        <v>423409.02</v>
      </c>
      <c r="K657" s="6">
        <v>81550.75</v>
      </c>
      <c r="L657" s="4" t="str">
        <f t="shared" si="1"/>
        <v>Jul-2025</v>
      </c>
    </row>
    <row r="658" ht="15.75" customHeight="1">
      <c r="A658" s="4" t="s">
        <v>949</v>
      </c>
      <c r="B658" s="5">
        <v>45863.0</v>
      </c>
      <c r="C658" s="4" t="s">
        <v>32</v>
      </c>
      <c r="D658" s="4" t="s">
        <v>19</v>
      </c>
      <c r="E658" s="4" t="s">
        <v>20</v>
      </c>
      <c r="F658" s="4" t="s">
        <v>84</v>
      </c>
      <c r="G658" s="4">
        <v>6.0</v>
      </c>
      <c r="H658" s="6">
        <v>26994.4</v>
      </c>
      <c r="I658" s="6">
        <v>161966.4</v>
      </c>
      <c r="J658" s="6">
        <v>130169.47</v>
      </c>
      <c r="K658" s="6">
        <v>31796.93</v>
      </c>
      <c r="L658" s="4" t="str">
        <f t="shared" si="1"/>
        <v>Jul-2025</v>
      </c>
    </row>
    <row r="659" ht="15.75" customHeight="1">
      <c r="A659" s="4" t="s">
        <v>950</v>
      </c>
      <c r="B659" s="5">
        <v>45864.0</v>
      </c>
      <c r="C659" s="4" t="s">
        <v>38</v>
      </c>
      <c r="D659" s="4" t="s">
        <v>19</v>
      </c>
      <c r="E659" s="4" t="s">
        <v>25</v>
      </c>
      <c r="F659" s="4" t="s">
        <v>561</v>
      </c>
      <c r="G659" s="4">
        <v>1.0</v>
      </c>
      <c r="H659" s="6">
        <v>29061.68</v>
      </c>
      <c r="I659" s="6">
        <v>29061.68</v>
      </c>
      <c r="J659" s="6">
        <v>25202.38</v>
      </c>
      <c r="K659" s="6">
        <v>3859.3</v>
      </c>
      <c r="L659" s="4" t="str">
        <f t="shared" si="1"/>
        <v>Jul-2025</v>
      </c>
    </row>
    <row r="660" ht="15.75" customHeight="1">
      <c r="A660" s="4" t="s">
        <v>951</v>
      </c>
      <c r="B660" s="5">
        <v>45864.0</v>
      </c>
      <c r="C660" s="4" t="s">
        <v>75</v>
      </c>
      <c r="D660" s="4" t="s">
        <v>24</v>
      </c>
      <c r="E660" s="4" t="s">
        <v>25</v>
      </c>
      <c r="F660" s="4" t="s">
        <v>304</v>
      </c>
      <c r="G660" s="4">
        <v>2.0</v>
      </c>
      <c r="H660" s="6">
        <v>8300.52</v>
      </c>
      <c r="I660" s="6">
        <v>16601.04</v>
      </c>
      <c r="J660" s="6">
        <v>12229.62</v>
      </c>
      <c r="K660" s="6">
        <v>4371.42</v>
      </c>
      <c r="L660" s="4" t="str">
        <f t="shared" si="1"/>
        <v>Jul-2025</v>
      </c>
    </row>
    <row r="661" ht="15.75" customHeight="1">
      <c r="A661" s="4" t="s">
        <v>952</v>
      </c>
      <c r="B661" s="5">
        <v>45864.0</v>
      </c>
      <c r="C661" s="4" t="s">
        <v>13</v>
      </c>
      <c r="D661" s="4" t="s">
        <v>14</v>
      </c>
      <c r="E661" s="4" t="s">
        <v>15</v>
      </c>
      <c r="F661" s="4" t="s">
        <v>607</v>
      </c>
      <c r="G661" s="4">
        <v>2.0</v>
      </c>
      <c r="H661" s="6">
        <v>612.79</v>
      </c>
      <c r="I661" s="6">
        <v>1225.58</v>
      </c>
      <c r="J661" s="6">
        <v>921.84</v>
      </c>
      <c r="K661" s="6">
        <v>303.74</v>
      </c>
      <c r="L661" s="4" t="str">
        <f t="shared" si="1"/>
        <v>Jul-2025</v>
      </c>
    </row>
    <row r="662" ht="15.75" customHeight="1">
      <c r="A662" s="4" t="s">
        <v>953</v>
      </c>
      <c r="B662" s="5">
        <v>45865.0</v>
      </c>
      <c r="C662" s="4" t="s">
        <v>72</v>
      </c>
      <c r="D662" s="4" t="s">
        <v>24</v>
      </c>
      <c r="E662" s="4" t="s">
        <v>20</v>
      </c>
      <c r="F662" s="4" t="s">
        <v>954</v>
      </c>
      <c r="G662" s="4">
        <v>7.0</v>
      </c>
      <c r="H662" s="6">
        <v>15331.39</v>
      </c>
      <c r="I662" s="6">
        <v>107319.73</v>
      </c>
      <c r="J662" s="6">
        <v>83200.76</v>
      </c>
      <c r="K662" s="6">
        <v>24118.97</v>
      </c>
      <c r="L662" s="4" t="str">
        <f t="shared" si="1"/>
        <v>Jul-2025</v>
      </c>
    </row>
    <row r="663" ht="15.75" customHeight="1">
      <c r="A663" s="4" t="s">
        <v>955</v>
      </c>
      <c r="B663" s="5">
        <v>45865.0</v>
      </c>
      <c r="C663" s="4" t="s">
        <v>75</v>
      </c>
      <c r="D663" s="4" t="s">
        <v>24</v>
      </c>
      <c r="E663" s="4" t="s">
        <v>25</v>
      </c>
      <c r="F663" s="4" t="s">
        <v>956</v>
      </c>
      <c r="G663" s="4">
        <v>6.0</v>
      </c>
      <c r="H663" s="6">
        <v>1769.29</v>
      </c>
      <c r="I663" s="6">
        <v>10615.74</v>
      </c>
      <c r="J663" s="6">
        <v>9065.35</v>
      </c>
      <c r="K663" s="6">
        <v>1550.39</v>
      </c>
      <c r="L663" s="4" t="str">
        <f t="shared" si="1"/>
        <v>Jul-2025</v>
      </c>
    </row>
    <row r="664" ht="15.75" customHeight="1">
      <c r="A664" s="4" t="s">
        <v>957</v>
      </c>
      <c r="B664" s="5">
        <v>45865.0</v>
      </c>
      <c r="C664" s="4" t="s">
        <v>69</v>
      </c>
      <c r="D664" s="4" t="s">
        <v>19</v>
      </c>
      <c r="E664" s="4" t="s">
        <v>25</v>
      </c>
      <c r="F664" s="4" t="s">
        <v>43</v>
      </c>
      <c r="G664" s="4">
        <v>4.0</v>
      </c>
      <c r="H664" s="6">
        <v>26623.84</v>
      </c>
      <c r="I664" s="6">
        <v>106495.36</v>
      </c>
      <c r="J664" s="6">
        <v>91754.61</v>
      </c>
      <c r="K664" s="6">
        <v>14740.75</v>
      </c>
      <c r="L664" s="4" t="str">
        <f t="shared" si="1"/>
        <v>Jul-2025</v>
      </c>
    </row>
    <row r="665" ht="15.75" customHeight="1">
      <c r="A665" s="4" t="s">
        <v>958</v>
      </c>
      <c r="B665" s="5">
        <v>45865.0</v>
      </c>
      <c r="C665" s="4" t="s">
        <v>109</v>
      </c>
      <c r="D665" s="4" t="s">
        <v>42</v>
      </c>
      <c r="E665" s="4" t="s">
        <v>29</v>
      </c>
      <c r="F665" s="4" t="s">
        <v>307</v>
      </c>
      <c r="G665" s="4">
        <v>7.0</v>
      </c>
      <c r="H665" s="6">
        <v>4177.94</v>
      </c>
      <c r="I665" s="6">
        <v>29245.58</v>
      </c>
      <c r="J665" s="6">
        <v>25702.81</v>
      </c>
      <c r="K665" s="6">
        <v>3542.77</v>
      </c>
      <c r="L665" s="4" t="str">
        <f t="shared" si="1"/>
        <v>Jul-2025</v>
      </c>
    </row>
    <row r="666" ht="15.75" customHeight="1">
      <c r="A666" s="4" t="s">
        <v>959</v>
      </c>
      <c r="B666" s="5">
        <v>45866.0</v>
      </c>
      <c r="C666" s="4" t="s">
        <v>72</v>
      </c>
      <c r="D666" s="4" t="s">
        <v>24</v>
      </c>
      <c r="E666" s="4" t="s">
        <v>25</v>
      </c>
      <c r="F666" s="4" t="s">
        <v>607</v>
      </c>
      <c r="G666" s="4">
        <v>3.0</v>
      </c>
      <c r="H666" s="6">
        <v>4525.43</v>
      </c>
      <c r="I666" s="6">
        <v>13576.29</v>
      </c>
      <c r="J666" s="6">
        <v>10757.61</v>
      </c>
      <c r="K666" s="6">
        <v>2818.68</v>
      </c>
      <c r="L666" s="4" t="str">
        <f t="shared" si="1"/>
        <v>Jul-2025</v>
      </c>
    </row>
    <row r="667" ht="15.75" customHeight="1">
      <c r="A667" s="4" t="s">
        <v>960</v>
      </c>
      <c r="B667" s="5">
        <v>45866.0</v>
      </c>
      <c r="C667" s="4" t="s">
        <v>69</v>
      </c>
      <c r="D667" s="4" t="s">
        <v>19</v>
      </c>
      <c r="E667" s="4" t="s">
        <v>20</v>
      </c>
      <c r="F667" s="4" t="s">
        <v>611</v>
      </c>
      <c r="G667" s="4">
        <v>2.0</v>
      </c>
      <c r="H667" s="6">
        <v>35449.03</v>
      </c>
      <c r="I667" s="6">
        <v>70898.06</v>
      </c>
      <c r="J667" s="6">
        <v>62330.42</v>
      </c>
      <c r="K667" s="6">
        <v>8567.64</v>
      </c>
      <c r="L667" s="4" t="str">
        <f t="shared" si="1"/>
        <v>Jul-2025</v>
      </c>
    </row>
    <row r="668" ht="15.75" customHeight="1">
      <c r="A668" s="4" t="s">
        <v>961</v>
      </c>
      <c r="B668" s="5">
        <v>45866.0</v>
      </c>
      <c r="C668" s="4" t="s">
        <v>23</v>
      </c>
      <c r="D668" s="4" t="s">
        <v>24</v>
      </c>
      <c r="E668" s="4" t="s">
        <v>20</v>
      </c>
      <c r="F668" s="4" t="s">
        <v>962</v>
      </c>
      <c r="G668" s="4">
        <v>2.0</v>
      </c>
      <c r="H668" s="6">
        <v>12471.9</v>
      </c>
      <c r="I668" s="6">
        <v>24943.8</v>
      </c>
      <c r="J668" s="6">
        <v>18060.51</v>
      </c>
      <c r="K668" s="6">
        <v>6883.29</v>
      </c>
      <c r="L668" s="4" t="str">
        <f t="shared" si="1"/>
        <v>Jul-2025</v>
      </c>
    </row>
    <row r="669" ht="15.75" customHeight="1">
      <c r="A669" s="4" t="s">
        <v>963</v>
      </c>
      <c r="B669" s="5">
        <v>45866.0</v>
      </c>
      <c r="C669" s="4" t="s">
        <v>32</v>
      </c>
      <c r="D669" s="4" t="s">
        <v>19</v>
      </c>
      <c r="E669" s="4" t="s">
        <v>15</v>
      </c>
      <c r="F669" s="4" t="s">
        <v>356</v>
      </c>
      <c r="G669" s="4">
        <v>1.0</v>
      </c>
      <c r="H669" s="6">
        <v>23782.21</v>
      </c>
      <c r="I669" s="6">
        <v>23782.21</v>
      </c>
      <c r="J669" s="6">
        <v>19428.87</v>
      </c>
      <c r="K669" s="6">
        <v>4353.34</v>
      </c>
      <c r="L669" s="4" t="str">
        <f t="shared" si="1"/>
        <v>Jul-2025</v>
      </c>
    </row>
    <row r="670" ht="15.75" customHeight="1">
      <c r="A670" s="4" t="s">
        <v>964</v>
      </c>
      <c r="B670" s="5">
        <v>45866.0</v>
      </c>
      <c r="C670" s="4" t="s">
        <v>72</v>
      </c>
      <c r="D670" s="4" t="s">
        <v>24</v>
      </c>
      <c r="E670" s="4" t="s">
        <v>15</v>
      </c>
      <c r="F670" s="4" t="s">
        <v>229</v>
      </c>
      <c r="G670" s="4">
        <v>1.0</v>
      </c>
      <c r="H670" s="6">
        <v>13171.45</v>
      </c>
      <c r="I670" s="6">
        <v>13171.45</v>
      </c>
      <c r="J670" s="6">
        <v>11590.76</v>
      </c>
      <c r="K670" s="6">
        <v>1580.69</v>
      </c>
      <c r="L670" s="4" t="str">
        <f t="shared" si="1"/>
        <v>Jul-2025</v>
      </c>
    </row>
    <row r="671" ht="15.75" customHeight="1">
      <c r="A671" s="4" t="s">
        <v>965</v>
      </c>
      <c r="B671" s="5">
        <v>45866.0</v>
      </c>
      <c r="C671" s="4" t="s">
        <v>72</v>
      </c>
      <c r="D671" s="4" t="s">
        <v>24</v>
      </c>
      <c r="E671" s="4" t="s">
        <v>29</v>
      </c>
      <c r="F671" s="4" t="s">
        <v>67</v>
      </c>
      <c r="G671" s="4">
        <v>5.0</v>
      </c>
      <c r="H671" s="6">
        <v>2549.12</v>
      </c>
      <c r="I671" s="6">
        <v>12745.6</v>
      </c>
      <c r="J671" s="6">
        <v>9511.11</v>
      </c>
      <c r="K671" s="6">
        <v>3234.49</v>
      </c>
      <c r="L671" s="4" t="str">
        <f t="shared" si="1"/>
        <v>Jul-2025</v>
      </c>
    </row>
    <row r="672" ht="15.75" customHeight="1">
      <c r="A672" s="4" t="s">
        <v>966</v>
      </c>
      <c r="B672" s="5">
        <v>45867.0</v>
      </c>
      <c r="C672" s="4" t="s">
        <v>47</v>
      </c>
      <c r="D672" s="4" t="s">
        <v>14</v>
      </c>
      <c r="E672" s="4" t="s">
        <v>20</v>
      </c>
      <c r="F672" s="4" t="s">
        <v>268</v>
      </c>
      <c r="G672" s="4">
        <v>1.0</v>
      </c>
      <c r="H672" s="6">
        <v>938.23</v>
      </c>
      <c r="I672" s="6">
        <v>938.23</v>
      </c>
      <c r="J672" s="6">
        <v>778.27</v>
      </c>
      <c r="K672" s="6">
        <v>159.96</v>
      </c>
      <c r="L672" s="4" t="str">
        <f t="shared" si="1"/>
        <v>Jul-2025</v>
      </c>
    </row>
    <row r="673" ht="15.75" customHeight="1">
      <c r="A673" s="4" t="s">
        <v>967</v>
      </c>
      <c r="B673" s="5">
        <v>45867.0</v>
      </c>
      <c r="C673" s="4" t="s">
        <v>18</v>
      </c>
      <c r="D673" s="4" t="s">
        <v>19</v>
      </c>
      <c r="E673" s="4" t="s">
        <v>29</v>
      </c>
      <c r="F673" s="4" t="s">
        <v>771</v>
      </c>
      <c r="G673" s="4">
        <v>4.0</v>
      </c>
      <c r="H673" s="6">
        <v>61620.03</v>
      </c>
      <c r="I673" s="6">
        <v>246480.12</v>
      </c>
      <c r="J673" s="6">
        <v>197203.31</v>
      </c>
      <c r="K673" s="6">
        <v>49276.81</v>
      </c>
      <c r="L673" s="4" t="str">
        <f t="shared" si="1"/>
        <v>Jul-2025</v>
      </c>
    </row>
    <row r="674" ht="15.75" customHeight="1">
      <c r="A674" s="4" t="s">
        <v>968</v>
      </c>
      <c r="B674" s="5">
        <v>45867.0</v>
      </c>
      <c r="C674" s="4" t="s">
        <v>47</v>
      </c>
      <c r="D674" s="4" t="s">
        <v>14</v>
      </c>
      <c r="E674" s="4" t="s">
        <v>15</v>
      </c>
      <c r="F674" s="4" t="s">
        <v>197</v>
      </c>
      <c r="G674" s="4">
        <v>7.0</v>
      </c>
      <c r="H674" s="6">
        <v>1102.84</v>
      </c>
      <c r="I674" s="6">
        <v>7719.88</v>
      </c>
      <c r="J674" s="6">
        <v>5356.15</v>
      </c>
      <c r="K674" s="6">
        <v>2363.73</v>
      </c>
      <c r="L674" s="4" t="str">
        <f t="shared" si="1"/>
        <v>Jul-2025</v>
      </c>
    </row>
    <row r="675" ht="15.75" customHeight="1">
      <c r="A675" s="4" t="s">
        <v>969</v>
      </c>
      <c r="B675" s="5">
        <v>45868.0</v>
      </c>
      <c r="C675" s="4" t="s">
        <v>35</v>
      </c>
      <c r="D675" s="4" t="s">
        <v>14</v>
      </c>
      <c r="E675" s="4" t="s">
        <v>25</v>
      </c>
      <c r="F675" s="4" t="s">
        <v>67</v>
      </c>
      <c r="G675" s="4">
        <v>1.0</v>
      </c>
      <c r="H675" s="6">
        <v>765.25</v>
      </c>
      <c r="I675" s="6">
        <v>765.25</v>
      </c>
      <c r="J675" s="6">
        <v>621.77</v>
      </c>
      <c r="K675" s="6">
        <v>143.48</v>
      </c>
      <c r="L675" s="4" t="str">
        <f t="shared" si="1"/>
        <v>Jul-2025</v>
      </c>
    </row>
    <row r="676" ht="15.75" customHeight="1">
      <c r="A676" s="4" t="s">
        <v>970</v>
      </c>
      <c r="B676" s="5">
        <v>45868.0</v>
      </c>
      <c r="C676" s="4" t="s">
        <v>47</v>
      </c>
      <c r="D676" s="4" t="s">
        <v>14</v>
      </c>
      <c r="E676" s="4" t="s">
        <v>25</v>
      </c>
      <c r="F676" s="4" t="s">
        <v>250</v>
      </c>
      <c r="G676" s="4">
        <v>5.0</v>
      </c>
      <c r="H676" s="6">
        <v>319.64</v>
      </c>
      <c r="I676" s="6">
        <v>1598.2</v>
      </c>
      <c r="J676" s="6">
        <v>1287.58</v>
      </c>
      <c r="K676" s="6">
        <v>310.62</v>
      </c>
      <c r="L676" s="4" t="str">
        <f t="shared" si="1"/>
        <v>Jul-2025</v>
      </c>
    </row>
    <row r="677" ht="15.75" customHeight="1">
      <c r="A677" s="4" t="s">
        <v>971</v>
      </c>
      <c r="B677" s="5">
        <v>45868.0</v>
      </c>
      <c r="C677" s="4" t="s">
        <v>35</v>
      </c>
      <c r="D677" s="4" t="s">
        <v>14</v>
      </c>
      <c r="E677" s="4" t="s">
        <v>15</v>
      </c>
      <c r="F677" s="4" t="s">
        <v>325</v>
      </c>
      <c r="G677" s="4">
        <v>5.0</v>
      </c>
      <c r="H677" s="6">
        <v>331.29</v>
      </c>
      <c r="I677" s="6">
        <v>1656.45</v>
      </c>
      <c r="J677" s="6">
        <v>1258.36</v>
      </c>
      <c r="K677" s="6">
        <v>398.09</v>
      </c>
      <c r="L677" s="4" t="str">
        <f t="shared" si="1"/>
        <v>Jul-2025</v>
      </c>
    </row>
    <row r="678" ht="15.75" customHeight="1">
      <c r="A678" s="4" t="s">
        <v>972</v>
      </c>
      <c r="B678" s="5">
        <v>45869.0</v>
      </c>
      <c r="C678" s="4" t="s">
        <v>38</v>
      </c>
      <c r="D678" s="4" t="s">
        <v>19</v>
      </c>
      <c r="E678" s="4" t="s">
        <v>25</v>
      </c>
      <c r="F678" s="4" t="s">
        <v>195</v>
      </c>
      <c r="G678" s="4">
        <v>6.0</v>
      </c>
      <c r="H678" s="6">
        <v>56250.83</v>
      </c>
      <c r="I678" s="6">
        <v>337504.98</v>
      </c>
      <c r="J678" s="6">
        <v>308356.19</v>
      </c>
      <c r="K678" s="6">
        <v>29148.79</v>
      </c>
      <c r="L678" s="4" t="str">
        <f t="shared" si="1"/>
        <v>Jul-2025</v>
      </c>
    </row>
    <row r="679" ht="15.75" customHeight="1">
      <c r="A679" s="4" t="s">
        <v>973</v>
      </c>
      <c r="B679" s="5">
        <v>45869.0</v>
      </c>
      <c r="C679" s="4" t="s">
        <v>180</v>
      </c>
      <c r="D679" s="4" t="s">
        <v>19</v>
      </c>
      <c r="E679" s="4" t="s">
        <v>20</v>
      </c>
      <c r="F679" s="4" t="s">
        <v>974</v>
      </c>
      <c r="G679" s="4">
        <v>2.0</v>
      </c>
      <c r="H679" s="6">
        <v>57816.84</v>
      </c>
      <c r="I679" s="6">
        <v>115633.68</v>
      </c>
      <c r="J679" s="6">
        <v>94102.48</v>
      </c>
      <c r="K679" s="6">
        <v>21531.2</v>
      </c>
      <c r="L679" s="4" t="str">
        <f t="shared" si="1"/>
        <v>Jul-2025</v>
      </c>
    </row>
    <row r="680" ht="15.75" customHeight="1">
      <c r="A680" s="4" t="s">
        <v>975</v>
      </c>
      <c r="B680" s="5">
        <v>45869.0</v>
      </c>
      <c r="C680" s="4" t="s">
        <v>180</v>
      </c>
      <c r="D680" s="4" t="s">
        <v>19</v>
      </c>
      <c r="E680" s="4" t="s">
        <v>15</v>
      </c>
      <c r="F680" s="4" t="s">
        <v>976</v>
      </c>
      <c r="G680" s="4">
        <v>5.0</v>
      </c>
      <c r="H680" s="6">
        <v>10682.34</v>
      </c>
      <c r="I680" s="6">
        <v>53411.7</v>
      </c>
      <c r="J680" s="6">
        <v>48650.36</v>
      </c>
      <c r="K680" s="6">
        <v>4761.34</v>
      </c>
      <c r="L680" s="4" t="str">
        <f t="shared" si="1"/>
        <v>Jul-2025</v>
      </c>
    </row>
    <row r="681" ht="15.75" customHeight="1">
      <c r="A681" s="4" t="s">
        <v>977</v>
      </c>
      <c r="B681" s="5">
        <v>45870.0</v>
      </c>
      <c r="C681" s="4" t="s">
        <v>13</v>
      </c>
      <c r="D681" s="4" t="s">
        <v>14</v>
      </c>
      <c r="E681" s="4" t="s">
        <v>25</v>
      </c>
      <c r="F681" s="4" t="s">
        <v>57</v>
      </c>
      <c r="G681" s="4">
        <v>7.0</v>
      </c>
      <c r="H681" s="6">
        <v>661.48</v>
      </c>
      <c r="I681" s="6">
        <v>4630.36</v>
      </c>
      <c r="J681" s="6">
        <v>3481.13</v>
      </c>
      <c r="K681" s="6">
        <v>1149.23</v>
      </c>
      <c r="L681" s="4" t="str">
        <f t="shared" si="1"/>
        <v>Aug-2025</v>
      </c>
    </row>
    <row r="682" ht="15.75" customHeight="1">
      <c r="A682" s="4" t="s">
        <v>978</v>
      </c>
      <c r="B682" s="5">
        <v>45870.0</v>
      </c>
      <c r="C682" s="4" t="s">
        <v>155</v>
      </c>
      <c r="D682" s="4" t="s">
        <v>24</v>
      </c>
      <c r="E682" s="4" t="s">
        <v>29</v>
      </c>
      <c r="F682" s="4" t="s">
        <v>16</v>
      </c>
      <c r="G682" s="4">
        <v>7.0</v>
      </c>
      <c r="H682" s="6">
        <v>5989.58</v>
      </c>
      <c r="I682" s="6">
        <v>41927.06</v>
      </c>
      <c r="J682" s="6">
        <v>30639.36</v>
      </c>
      <c r="K682" s="6">
        <v>11287.7</v>
      </c>
      <c r="L682" s="4" t="str">
        <f t="shared" si="1"/>
        <v>Aug-2025</v>
      </c>
    </row>
    <row r="683" ht="15.75" customHeight="1">
      <c r="A683" s="4" t="s">
        <v>979</v>
      </c>
      <c r="B683" s="5">
        <v>45870.0</v>
      </c>
      <c r="C683" s="4" t="s">
        <v>23</v>
      </c>
      <c r="D683" s="4" t="s">
        <v>24</v>
      </c>
      <c r="E683" s="4" t="s">
        <v>15</v>
      </c>
      <c r="F683" s="4" t="s">
        <v>203</v>
      </c>
      <c r="G683" s="4">
        <v>4.0</v>
      </c>
      <c r="H683" s="6">
        <v>8438.85</v>
      </c>
      <c r="I683" s="6">
        <v>33755.4</v>
      </c>
      <c r="J683" s="6">
        <v>26365.15</v>
      </c>
      <c r="K683" s="6">
        <v>7390.25</v>
      </c>
      <c r="L683" s="4" t="str">
        <f t="shared" si="1"/>
        <v>Aug-2025</v>
      </c>
    </row>
    <row r="684" ht="15.75" customHeight="1">
      <c r="A684" s="4" t="s">
        <v>980</v>
      </c>
      <c r="B684" s="5">
        <v>45870.0</v>
      </c>
      <c r="C684" s="4" t="s">
        <v>32</v>
      </c>
      <c r="D684" s="4" t="s">
        <v>19</v>
      </c>
      <c r="E684" s="4" t="s">
        <v>15</v>
      </c>
      <c r="F684" s="4" t="s">
        <v>158</v>
      </c>
      <c r="G684" s="4">
        <v>3.0</v>
      </c>
      <c r="H684" s="6">
        <v>66609.83</v>
      </c>
      <c r="I684" s="6">
        <v>199829.49</v>
      </c>
      <c r="J684" s="6">
        <v>168356.89</v>
      </c>
      <c r="K684" s="6">
        <v>31472.6</v>
      </c>
      <c r="L684" s="4" t="str">
        <f t="shared" si="1"/>
        <v>Aug-2025</v>
      </c>
    </row>
    <row r="685" ht="15.75" customHeight="1">
      <c r="A685" s="4" t="s">
        <v>981</v>
      </c>
      <c r="B685" s="5">
        <v>45871.0</v>
      </c>
      <c r="C685" s="4" t="s">
        <v>75</v>
      </c>
      <c r="D685" s="4" t="s">
        <v>24</v>
      </c>
      <c r="E685" s="4" t="s">
        <v>25</v>
      </c>
      <c r="F685" s="4" t="s">
        <v>497</v>
      </c>
      <c r="G685" s="4">
        <v>7.0</v>
      </c>
      <c r="H685" s="6">
        <v>12354.07</v>
      </c>
      <c r="I685" s="6">
        <v>86478.49</v>
      </c>
      <c r="J685" s="6">
        <v>66499.2</v>
      </c>
      <c r="K685" s="6">
        <v>19979.29</v>
      </c>
      <c r="L685" s="4" t="str">
        <f t="shared" si="1"/>
        <v>Aug-2025</v>
      </c>
    </row>
    <row r="686" ht="15.75" customHeight="1">
      <c r="A686" s="4" t="s">
        <v>982</v>
      </c>
      <c r="B686" s="5">
        <v>45871.0</v>
      </c>
      <c r="C686" s="4" t="s">
        <v>160</v>
      </c>
      <c r="D686" s="4" t="s">
        <v>42</v>
      </c>
      <c r="E686" s="4" t="s">
        <v>29</v>
      </c>
      <c r="F686" s="4" t="s">
        <v>822</v>
      </c>
      <c r="G686" s="4">
        <v>5.0</v>
      </c>
      <c r="H686" s="6">
        <v>3771.44</v>
      </c>
      <c r="I686" s="6">
        <v>18857.2</v>
      </c>
      <c r="J686" s="6">
        <v>14691.73</v>
      </c>
      <c r="K686" s="6">
        <v>4165.47</v>
      </c>
      <c r="L686" s="4" t="str">
        <f t="shared" si="1"/>
        <v>Aug-2025</v>
      </c>
    </row>
    <row r="687" ht="15.75" customHeight="1">
      <c r="A687" s="4" t="s">
        <v>983</v>
      </c>
      <c r="B687" s="5">
        <v>45871.0</v>
      </c>
      <c r="C687" s="4" t="s">
        <v>155</v>
      </c>
      <c r="D687" s="4" t="s">
        <v>24</v>
      </c>
      <c r="E687" s="4" t="s">
        <v>29</v>
      </c>
      <c r="F687" s="4" t="s">
        <v>215</v>
      </c>
      <c r="G687" s="4">
        <v>5.0</v>
      </c>
      <c r="H687" s="6">
        <v>14712.63</v>
      </c>
      <c r="I687" s="6">
        <v>73563.15</v>
      </c>
      <c r="J687" s="6">
        <v>62094.56</v>
      </c>
      <c r="K687" s="6">
        <v>11468.59</v>
      </c>
      <c r="L687" s="4" t="str">
        <f t="shared" si="1"/>
        <v>Aug-2025</v>
      </c>
    </row>
    <row r="688" ht="15.75" customHeight="1">
      <c r="A688" s="4" t="s">
        <v>984</v>
      </c>
      <c r="B688" s="5">
        <v>45871.0</v>
      </c>
      <c r="C688" s="4" t="s">
        <v>38</v>
      </c>
      <c r="D688" s="4" t="s">
        <v>19</v>
      </c>
      <c r="E688" s="4" t="s">
        <v>15</v>
      </c>
      <c r="F688" s="4" t="s">
        <v>205</v>
      </c>
      <c r="G688" s="4">
        <v>3.0</v>
      </c>
      <c r="H688" s="6">
        <v>6191.79</v>
      </c>
      <c r="I688" s="6">
        <v>18575.37</v>
      </c>
      <c r="J688" s="6">
        <v>16645.55</v>
      </c>
      <c r="K688" s="6">
        <v>1929.82</v>
      </c>
      <c r="L688" s="4" t="str">
        <f t="shared" si="1"/>
        <v>Aug-2025</v>
      </c>
    </row>
    <row r="689" ht="15.75" customHeight="1">
      <c r="A689" s="4" t="s">
        <v>985</v>
      </c>
      <c r="B689" s="5">
        <v>45872.0</v>
      </c>
      <c r="C689" s="4" t="s">
        <v>47</v>
      </c>
      <c r="D689" s="4" t="s">
        <v>14</v>
      </c>
      <c r="E689" s="4" t="s">
        <v>25</v>
      </c>
      <c r="F689" s="4" t="s">
        <v>279</v>
      </c>
      <c r="G689" s="4">
        <v>6.0</v>
      </c>
      <c r="H689" s="6">
        <v>921.6</v>
      </c>
      <c r="I689" s="6">
        <v>5529.6</v>
      </c>
      <c r="J689" s="6">
        <v>3815.33</v>
      </c>
      <c r="K689" s="6">
        <v>1714.27</v>
      </c>
      <c r="L689" s="4" t="str">
        <f t="shared" si="1"/>
        <v>Aug-2025</v>
      </c>
    </row>
    <row r="690" ht="15.75" customHeight="1">
      <c r="A690" s="4" t="s">
        <v>986</v>
      </c>
      <c r="B690" s="5">
        <v>45872.0</v>
      </c>
      <c r="C690" s="4" t="s">
        <v>61</v>
      </c>
      <c r="D690" s="4" t="s">
        <v>19</v>
      </c>
      <c r="E690" s="4" t="s">
        <v>20</v>
      </c>
      <c r="F690" s="4" t="s">
        <v>97</v>
      </c>
      <c r="G690" s="4">
        <v>3.0</v>
      </c>
      <c r="H690" s="6">
        <v>50453.43</v>
      </c>
      <c r="I690" s="6">
        <v>151360.29</v>
      </c>
      <c r="J690" s="6">
        <v>125947.96</v>
      </c>
      <c r="K690" s="6">
        <v>25412.33</v>
      </c>
      <c r="L690" s="4" t="str">
        <f t="shared" si="1"/>
        <v>Aug-2025</v>
      </c>
    </row>
    <row r="691" ht="15.75" customHeight="1">
      <c r="A691" s="4" t="s">
        <v>987</v>
      </c>
      <c r="B691" s="5">
        <v>45872.0</v>
      </c>
      <c r="C691" s="4" t="s">
        <v>140</v>
      </c>
      <c r="D691" s="4" t="s">
        <v>14</v>
      </c>
      <c r="E691" s="4" t="s">
        <v>29</v>
      </c>
      <c r="F691" s="4" t="s">
        <v>207</v>
      </c>
      <c r="G691" s="4">
        <v>5.0</v>
      </c>
      <c r="H691" s="6">
        <v>808.93</v>
      </c>
      <c r="I691" s="6">
        <v>4044.65</v>
      </c>
      <c r="J691" s="6">
        <v>3382.87</v>
      </c>
      <c r="K691" s="6">
        <v>661.78</v>
      </c>
      <c r="L691" s="4" t="str">
        <f t="shared" si="1"/>
        <v>Aug-2025</v>
      </c>
    </row>
    <row r="692" ht="15.75" customHeight="1">
      <c r="A692" s="4" t="s">
        <v>988</v>
      </c>
      <c r="B692" s="5">
        <v>45873.0</v>
      </c>
      <c r="C692" s="4" t="s">
        <v>61</v>
      </c>
      <c r="D692" s="4" t="s">
        <v>19</v>
      </c>
      <c r="E692" s="4" t="s">
        <v>25</v>
      </c>
      <c r="F692" s="4" t="s">
        <v>156</v>
      </c>
      <c r="G692" s="4">
        <v>6.0</v>
      </c>
      <c r="H692" s="6">
        <v>4975.6</v>
      </c>
      <c r="I692" s="6">
        <v>29853.6</v>
      </c>
      <c r="J692" s="6">
        <v>25989.37</v>
      </c>
      <c r="K692" s="6">
        <v>3864.23</v>
      </c>
      <c r="L692" s="4" t="str">
        <f t="shared" si="1"/>
        <v>Aug-2025</v>
      </c>
    </row>
    <row r="693" ht="15.75" customHeight="1">
      <c r="A693" s="4" t="s">
        <v>989</v>
      </c>
      <c r="B693" s="5">
        <v>45873.0</v>
      </c>
      <c r="C693" s="4" t="s">
        <v>92</v>
      </c>
      <c r="D693" s="4" t="s">
        <v>14</v>
      </c>
      <c r="E693" s="4" t="s">
        <v>25</v>
      </c>
      <c r="F693" s="4" t="s">
        <v>643</v>
      </c>
      <c r="G693" s="4">
        <v>4.0</v>
      </c>
      <c r="H693" s="6">
        <v>119.71</v>
      </c>
      <c r="I693" s="6">
        <v>478.84</v>
      </c>
      <c r="J693" s="6">
        <v>332.03</v>
      </c>
      <c r="K693" s="6">
        <v>146.81</v>
      </c>
      <c r="L693" s="4" t="str">
        <f t="shared" si="1"/>
        <v>Aug-2025</v>
      </c>
    </row>
    <row r="694" ht="15.75" customHeight="1">
      <c r="A694" s="4" t="s">
        <v>990</v>
      </c>
      <c r="B694" s="5">
        <v>45873.0</v>
      </c>
      <c r="C694" s="4" t="s">
        <v>50</v>
      </c>
      <c r="D694" s="4" t="s">
        <v>42</v>
      </c>
      <c r="E694" s="4" t="s">
        <v>15</v>
      </c>
      <c r="F694" s="4" t="s">
        <v>241</v>
      </c>
      <c r="G694" s="4">
        <v>3.0</v>
      </c>
      <c r="H694" s="6">
        <v>3589.73</v>
      </c>
      <c r="I694" s="6">
        <v>10769.19</v>
      </c>
      <c r="J694" s="6">
        <v>9193.39</v>
      </c>
      <c r="K694" s="6">
        <v>1575.8</v>
      </c>
      <c r="L694" s="4" t="str">
        <f t="shared" si="1"/>
        <v>Aug-2025</v>
      </c>
    </row>
    <row r="695" ht="15.75" customHeight="1">
      <c r="A695" s="4" t="s">
        <v>991</v>
      </c>
      <c r="B695" s="5">
        <v>45873.0</v>
      </c>
      <c r="C695" s="4" t="s">
        <v>155</v>
      </c>
      <c r="D695" s="4" t="s">
        <v>24</v>
      </c>
      <c r="E695" s="4" t="s">
        <v>25</v>
      </c>
      <c r="F695" s="4" t="s">
        <v>516</v>
      </c>
      <c r="G695" s="4">
        <v>3.0</v>
      </c>
      <c r="H695" s="6">
        <v>9545.07</v>
      </c>
      <c r="I695" s="6">
        <v>28635.21</v>
      </c>
      <c r="J695" s="6">
        <v>22554.1</v>
      </c>
      <c r="K695" s="6">
        <v>6081.11</v>
      </c>
      <c r="L695" s="4" t="str">
        <f t="shared" si="1"/>
        <v>Aug-2025</v>
      </c>
    </row>
    <row r="696" ht="15.75" customHeight="1">
      <c r="A696" s="4" t="s">
        <v>992</v>
      </c>
      <c r="B696" s="5">
        <v>45875.0</v>
      </c>
      <c r="C696" s="4" t="s">
        <v>75</v>
      </c>
      <c r="D696" s="4" t="s">
        <v>24</v>
      </c>
      <c r="E696" s="4" t="s">
        <v>15</v>
      </c>
      <c r="F696" s="4" t="s">
        <v>507</v>
      </c>
      <c r="G696" s="4">
        <v>5.0</v>
      </c>
      <c r="H696" s="6">
        <v>12801.94</v>
      </c>
      <c r="I696" s="6">
        <v>64009.7</v>
      </c>
      <c r="J696" s="6">
        <v>55743.8</v>
      </c>
      <c r="K696" s="6">
        <v>8265.9</v>
      </c>
      <c r="L696" s="4" t="str">
        <f t="shared" si="1"/>
        <v>Aug-2025</v>
      </c>
    </row>
    <row r="697" ht="15.75" customHeight="1">
      <c r="A697" s="4" t="s">
        <v>993</v>
      </c>
      <c r="B697" s="5">
        <v>45875.0</v>
      </c>
      <c r="C697" s="4" t="s">
        <v>75</v>
      </c>
      <c r="D697" s="4" t="s">
        <v>24</v>
      </c>
      <c r="E697" s="4" t="s">
        <v>25</v>
      </c>
      <c r="F697" s="4" t="s">
        <v>270</v>
      </c>
      <c r="G697" s="4">
        <v>1.0</v>
      </c>
      <c r="H697" s="6">
        <v>8553.49</v>
      </c>
      <c r="I697" s="6">
        <v>8553.49</v>
      </c>
      <c r="J697" s="6">
        <v>7001.52</v>
      </c>
      <c r="K697" s="6">
        <v>1551.97</v>
      </c>
      <c r="L697" s="4" t="str">
        <f t="shared" si="1"/>
        <v>Aug-2025</v>
      </c>
    </row>
    <row r="698" ht="15.75" customHeight="1">
      <c r="A698" s="4" t="s">
        <v>994</v>
      </c>
      <c r="B698" s="5">
        <v>45875.0</v>
      </c>
      <c r="C698" s="4" t="s">
        <v>18</v>
      </c>
      <c r="D698" s="4" t="s">
        <v>19</v>
      </c>
      <c r="E698" s="4" t="s">
        <v>25</v>
      </c>
      <c r="F698" s="4" t="s">
        <v>293</v>
      </c>
      <c r="G698" s="4">
        <v>2.0</v>
      </c>
      <c r="H698" s="6">
        <v>67196.19</v>
      </c>
      <c r="I698" s="6">
        <v>134392.38</v>
      </c>
      <c r="J698" s="6">
        <v>113998.61</v>
      </c>
      <c r="K698" s="6">
        <v>20393.77</v>
      </c>
      <c r="L698" s="4" t="str">
        <f t="shared" si="1"/>
        <v>Aug-2025</v>
      </c>
    </row>
    <row r="699" ht="15.75" customHeight="1">
      <c r="A699" s="4" t="s">
        <v>995</v>
      </c>
      <c r="B699" s="5">
        <v>45875.0</v>
      </c>
      <c r="C699" s="4" t="s">
        <v>155</v>
      </c>
      <c r="D699" s="4" t="s">
        <v>24</v>
      </c>
      <c r="E699" s="4" t="s">
        <v>25</v>
      </c>
      <c r="F699" s="4" t="s">
        <v>705</v>
      </c>
      <c r="G699" s="4">
        <v>7.0</v>
      </c>
      <c r="H699" s="6">
        <v>4188.64</v>
      </c>
      <c r="I699" s="6">
        <v>29320.48</v>
      </c>
      <c r="J699" s="6">
        <v>22104.74</v>
      </c>
      <c r="K699" s="6">
        <v>7215.74</v>
      </c>
      <c r="L699" s="4" t="str">
        <f t="shared" si="1"/>
        <v>Aug-2025</v>
      </c>
    </row>
    <row r="700" ht="15.75" customHeight="1">
      <c r="A700" s="4" t="s">
        <v>996</v>
      </c>
      <c r="B700" s="5">
        <v>45875.0</v>
      </c>
      <c r="C700" s="4" t="s">
        <v>155</v>
      </c>
      <c r="D700" s="4" t="s">
        <v>24</v>
      </c>
      <c r="E700" s="4" t="s">
        <v>25</v>
      </c>
      <c r="F700" s="4" t="s">
        <v>475</v>
      </c>
      <c r="G700" s="4">
        <v>6.0</v>
      </c>
      <c r="H700" s="6">
        <v>5511.88</v>
      </c>
      <c r="I700" s="6">
        <v>33071.28</v>
      </c>
      <c r="J700" s="6">
        <v>24101.7</v>
      </c>
      <c r="K700" s="6">
        <v>8969.58</v>
      </c>
      <c r="L700" s="4" t="str">
        <f t="shared" si="1"/>
        <v>Aug-2025</v>
      </c>
    </row>
    <row r="701" ht="15.75" customHeight="1">
      <c r="A701" s="4" t="s">
        <v>997</v>
      </c>
      <c r="B701" s="5">
        <v>45876.0</v>
      </c>
      <c r="C701" s="4" t="s">
        <v>18</v>
      </c>
      <c r="D701" s="4" t="s">
        <v>19</v>
      </c>
      <c r="E701" s="4" t="s">
        <v>20</v>
      </c>
      <c r="F701" s="4" t="s">
        <v>84</v>
      </c>
      <c r="G701" s="4">
        <v>6.0</v>
      </c>
      <c r="H701" s="6">
        <v>46057.66</v>
      </c>
      <c r="I701" s="6">
        <v>276345.96</v>
      </c>
      <c r="J701" s="6">
        <v>223579.72</v>
      </c>
      <c r="K701" s="6">
        <v>52766.24</v>
      </c>
      <c r="L701" s="4" t="str">
        <f t="shared" si="1"/>
        <v>Aug-2025</v>
      </c>
    </row>
    <row r="702" ht="15.75" customHeight="1">
      <c r="A702" s="4" t="s">
        <v>998</v>
      </c>
      <c r="B702" s="5">
        <v>45876.0</v>
      </c>
      <c r="C702" s="4" t="s">
        <v>61</v>
      </c>
      <c r="D702" s="4" t="s">
        <v>19</v>
      </c>
      <c r="E702" s="4" t="s">
        <v>29</v>
      </c>
      <c r="F702" s="4" t="s">
        <v>125</v>
      </c>
      <c r="G702" s="4">
        <v>4.0</v>
      </c>
      <c r="H702" s="6">
        <v>33453.27</v>
      </c>
      <c r="I702" s="6">
        <v>133813.08</v>
      </c>
      <c r="J702" s="6">
        <v>115354.62</v>
      </c>
      <c r="K702" s="6">
        <v>18458.46</v>
      </c>
      <c r="L702" s="4" t="str">
        <f t="shared" si="1"/>
        <v>Aug-2025</v>
      </c>
    </row>
    <row r="703" ht="15.75" customHeight="1">
      <c r="A703" s="4" t="s">
        <v>999</v>
      </c>
      <c r="B703" s="5">
        <v>45877.0</v>
      </c>
      <c r="C703" s="4" t="s">
        <v>75</v>
      </c>
      <c r="D703" s="4" t="s">
        <v>24</v>
      </c>
      <c r="E703" s="4" t="s">
        <v>25</v>
      </c>
      <c r="F703" s="4" t="s">
        <v>309</v>
      </c>
      <c r="G703" s="4">
        <v>6.0</v>
      </c>
      <c r="H703" s="6">
        <v>3722.46</v>
      </c>
      <c r="I703" s="6">
        <v>22334.76</v>
      </c>
      <c r="J703" s="6">
        <v>18651.46</v>
      </c>
      <c r="K703" s="6">
        <v>3683.3</v>
      </c>
      <c r="L703" s="4" t="str">
        <f t="shared" si="1"/>
        <v>Aug-2025</v>
      </c>
    </row>
    <row r="704" ht="15.75" customHeight="1">
      <c r="A704" s="4" t="s">
        <v>1000</v>
      </c>
      <c r="B704" s="5">
        <v>45877.0</v>
      </c>
      <c r="C704" s="4" t="s">
        <v>109</v>
      </c>
      <c r="D704" s="4" t="s">
        <v>42</v>
      </c>
      <c r="E704" s="4" t="s">
        <v>15</v>
      </c>
      <c r="F704" s="4" t="s">
        <v>561</v>
      </c>
      <c r="G704" s="4">
        <v>7.0</v>
      </c>
      <c r="H704" s="6">
        <v>4839.79</v>
      </c>
      <c r="I704" s="6">
        <v>33878.53</v>
      </c>
      <c r="J704" s="6">
        <v>26995.59</v>
      </c>
      <c r="K704" s="6">
        <v>6882.94</v>
      </c>
      <c r="L704" s="4" t="str">
        <f t="shared" si="1"/>
        <v>Aug-2025</v>
      </c>
    </row>
    <row r="705" ht="15.75" customHeight="1">
      <c r="A705" s="4" t="s">
        <v>1001</v>
      </c>
      <c r="B705" s="5">
        <v>45877.0</v>
      </c>
      <c r="C705" s="4" t="s">
        <v>69</v>
      </c>
      <c r="D705" s="4" t="s">
        <v>19</v>
      </c>
      <c r="E705" s="4" t="s">
        <v>20</v>
      </c>
      <c r="F705" s="4" t="s">
        <v>1002</v>
      </c>
      <c r="G705" s="4">
        <v>1.0</v>
      </c>
      <c r="H705" s="6">
        <v>23906.87</v>
      </c>
      <c r="I705" s="6">
        <v>23906.87</v>
      </c>
      <c r="J705" s="6">
        <v>19184.28</v>
      </c>
      <c r="K705" s="6">
        <v>4722.59</v>
      </c>
      <c r="L705" s="4" t="str">
        <f t="shared" si="1"/>
        <v>Aug-2025</v>
      </c>
    </row>
    <row r="706" ht="15.75" customHeight="1">
      <c r="A706" s="4" t="s">
        <v>1003</v>
      </c>
      <c r="B706" s="5">
        <v>45877.0</v>
      </c>
      <c r="C706" s="4" t="s">
        <v>140</v>
      </c>
      <c r="D706" s="4" t="s">
        <v>14</v>
      </c>
      <c r="E706" s="4" t="s">
        <v>29</v>
      </c>
      <c r="F706" s="4" t="s">
        <v>459</v>
      </c>
      <c r="G706" s="4">
        <v>1.0</v>
      </c>
      <c r="H706" s="6">
        <v>96.08</v>
      </c>
      <c r="I706" s="6">
        <v>96.08</v>
      </c>
      <c r="J706" s="6">
        <v>79.31</v>
      </c>
      <c r="K706" s="6">
        <v>16.77</v>
      </c>
      <c r="L706" s="4" t="str">
        <f t="shared" si="1"/>
        <v>Aug-2025</v>
      </c>
    </row>
    <row r="707" ht="15.75" customHeight="1">
      <c r="A707" s="4" t="s">
        <v>1004</v>
      </c>
      <c r="B707" s="5">
        <v>45877.0</v>
      </c>
      <c r="C707" s="4" t="s">
        <v>47</v>
      </c>
      <c r="D707" s="4" t="s">
        <v>14</v>
      </c>
      <c r="E707" s="4" t="s">
        <v>25</v>
      </c>
      <c r="F707" s="4" t="s">
        <v>392</v>
      </c>
      <c r="G707" s="4">
        <v>1.0</v>
      </c>
      <c r="H707" s="6">
        <v>987.58</v>
      </c>
      <c r="I707" s="6">
        <v>987.58</v>
      </c>
      <c r="J707" s="6">
        <v>687.35</v>
      </c>
      <c r="K707" s="6">
        <v>300.23</v>
      </c>
      <c r="L707" s="4" t="str">
        <f t="shared" si="1"/>
        <v>Aug-2025</v>
      </c>
    </row>
    <row r="708" ht="15.75" customHeight="1">
      <c r="A708" s="4" t="s">
        <v>1005</v>
      </c>
      <c r="B708" s="5">
        <v>45878.0</v>
      </c>
      <c r="C708" s="4" t="s">
        <v>18</v>
      </c>
      <c r="D708" s="4" t="s">
        <v>19</v>
      </c>
      <c r="E708" s="4" t="s">
        <v>29</v>
      </c>
      <c r="F708" s="4" t="s">
        <v>266</v>
      </c>
      <c r="G708" s="4">
        <v>7.0</v>
      </c>
      <c r="H708" s="6">
        <v>69609.75</v>
      </c>
      <c r="I708" s="6">
        <v>487268.25</v>
      </c>
      <c r="J708" s="6">
        <v>426892.65</v>
      </c>
      <c r="K708" s="6">
        <v>60375.6</v>
      </c>
      <c r="L708" s="4" t="str">
        <f t="shared" si="1"/>
        <v>Aug-2025</v>
      </c>
    </row>
    <row r="709" ht="15.75" customHeight="1">
      <c r="A709" s="4" t="s">
        <v>1006</v>
      </c>
      <c r="B709" s="5">
        <v>45878.0</v>
      </c>
      <c r="C709" s="4" t="s">
        <v>92</v>
      </c>
      <c r="D709" s="4" t="s">
        <v>14</v>
      </c>
      <c r="E709" s="4" t="s">
        <v>20</v>
      </c>
      <c r="F709" s="4" t="s">
        <v>105</v>
      </c>
      <c r="G709" s="4">
        <v>7.0</v>
      </c>
      <c r="H709" s="6">
        <v>554.55</v>
      </c>
      <c r="I709" s="6">
        <v>3881.85</v>
      </c>
      <c r="J709" s="6">
        <v>3228.72</v>
      </c>
      <c r="K709" s="6">
        <v>653.13</v>
      </c>
      <c r="L709" s="4" t="str">
        <f t="shared" si="1"/>
        <v>Aug-2025</v>
      </c>
    </row>
    <row r="710" ht="15.75" customHeight="1">
      <c r="A710" s="4" t="s">
        <v>1007</v>
      </c>
      <c r="B710" s="5">
        <v>45878.0</v>
      </c>
      <c r="C710" s="4" t="s">
        <v>180</v>
      </c>
      <c r="D710" s="4" t="s">
        <v>19</v>
      </c>
      <c r="E710" s="4" t="s">
        <v>29</v>
      </c>
      <c r="F710" s="4" t="s">
        <v>95</v>
      </c>
      <c r="G710" s="4">
        <v>6.0</v>
      </c>
      <c r="H710" s="6">
        <v>36474.33</v>
      </c>
      <c r="I710" s="6">
        <v>218845.98</v>
      </c>
      <c r="J710" s="6">
        <v>175286.46</v>
      </c>
      <c r="K710" s="6">
        <v>43559.52</v>
      </c>
      <c r="L710" s="4" t="str">
        <f t="shared" si="1"/>
        <v>Aug-2025</v>
      </c>
    </row>
    <row r="711" ht="15.75" customHeight="1">
      <c r="A711" s="4" t="s">
        <v>1008</v>
      </c>
      <c r="B711" s="5">
        <v>45879.0</v>
      </c>
      <c r="C711" s="4" t="s">
        <v>41</v>
      </c>
      <c r="D711" s="4" t="s">
        <v>42</v>
      </c>
      <c r="E711" s="4" t="s">
        <v>15</v>
      </c>
      <c r="F711" s="4" t="s">
        <v>173</v>
      </c>
      <c r="G711" s="4">
        <v>7.0</v>
      </c>
      <c r="H711" s="6">
        <v>515.01</v>
      </c>
      <c r="I711" s="6">
        <v>3605.07</v>
      </c>
      <c r="J711" s="6">
        <v>3106.31</v>
      </c>
      <c r="K711" s="6">
        <v>498.76</v>
      </c>
      <c r="L711" s="4" t="str">
        <f t="shared" si="1"/>
        <v>Aug-2025</v>
      </c>
    </row>
    <row r="712" ht="15.75" customHeight="1">
      <c r="A712" s="4" t="s">
        <v>1009</v>
      </c>
      <c r="B712" s="5">
        <v>45879.0</v>
      </c>
      <c r="C712" s="4" t="s">
        <v>72</v>
      </c>
      <c r="D712" s="4" t="s">
        <v>24</v>
      </c>
      <c r="E712" s="4" t="s">
        <v>29</v>
      </c>
      <c r="F712" s="4" t="s">
        <v>633</v>
      </c>
      <c r="G712" s="4">
        <v>2.0</v>
      </c>
      <c r="H712" s="6">
        <v>3529.5</v>
      </c>
      <c r="I712" s="6">
        <v>7059.0</v>
      </c>
      <c r="J712" s="6">
        <v>5701.1</v>
      </c>
      <c r="K712" s="6">
        <v>1357.9</v>
      </c>
      <c r="L712" s="4" t="str">
        <f t="shared" si="1"/>
        <v>Aug-2025</v>
      </c>
    </row>
    <row r="713" ht="15.75" customHeight="1">
      <c r="A713" s="4" t="s">
        <v>1010</v>
      </c>
      <c r="B713" s="5">
        <v>45880.0</v>
      </c>
      <c r="C713" s="4" t="s">
        <v>38</v>
      </c>
      <c r="D713" s="4" t="s">
        <v>19</v>
      </c>
      <c r="E713" s="4" t="s">
        <v>15</v>
      </c>
      <c r="F713" s="4" t="s">
        <v>516</v>
      </c>
      <c r="G713" s="4">
        <v>4.0</v>
      </c>
      <c r="H713" s="6">
        <v>5052.43</v>
      </c>
      <c r="I713" s="6">
        <v>20209.72</v>
      </c>
      <c r="J713" s="6">
        <v>18169.53</v>
      </c>
      <c r="K713" s="6">
        <v>2040.19</v>
      </c>
      <c r="L713" s="4" t="str">
        <f t="shared" si="1"/>
        <v>Aug-2025</v>
      </c>
    </row>
    <row r="714" ht="15.75" customHeight="1">
      <c r="A714" s="4" t="s">
        <v>1011</v>
      </c>
      <c r="B714" s="5">
        <v>45880.0</v>
      </c>
      <c r="C714" s="4" t="s">
        <v>109</v>
      </c>
      <c r="D714" s="4" t="s">
        <v>42</v>
      </c>
      <c r="E714" s="4" t="s">
        <v>20</v>
      </c>
      <c r="F714" s="4" t="s">
        <v>307</v>
      </c>
      <c r="G714" s="4">
        <v>3.0</v>
      </c>
      <c r="H714" s="6">
        <v>3742.05</v>
      </c>
      <c r="I714" s="6">
        <v>11226.15</v>
      </c>
      <c r="J714" s="6">
        <v>9670.66</v>
      </c>
      <c r="K714" s="6">
        <v>1555.49</v>
      </c>
      <c r="L714" s="4" t="str">
        <f t="shared" si="1"/>
        <v>Aug-2025</v>
      </c>
    </row>
    <row r="715" ht="15.75" customHeight="1">
      <c r="A715" s="4" t="s">
        <v>1012</v>
      </c>
      <c r="B715" s="5">
        <v>45880.0</v>
      </c>
      <c r="C715" s="4" t="s">
        <v>32</v>
      </c>
      <c r="D715" s="4" t="s">
        <v>19</v>
      </c>
      <c r="E715" s="4" t="s">
        <v>29</v>
      </c>
      <c r="F715" s="4" t="s">
        <v>359</v>
      </c>
      <c r="G715" s="4">
        <v>5.0</v>
      </c>
      <c r="H715" s="6">
        <v>8074.9</v>
      </c>
      <c r="I715" s="6">
        <v>40374.5</v>
      </c>
      <c r="J715" s="6">
        <v>34592.14</v>
      </c>
      <c r="K715" s="6">
        <v>5782.36</v>
      </c>
      <c r="L715" s="4" t="str">
        <f t="shared" si="1"/>
        <v>Aug-2025</v>
      </c>
    </row>
    <row r="716" ht="15.75" customHeight="1">
      <c r="A716" s="4" t="s">
        <v>1013</v>
      </c>
      <c r="B716" s="5">
        <v>45880.0</v>
      </c>
      <c r="C716" s="4" t="s">
        <v>140</v>
      </c>
      <c r="D716" s="4" t="s">
        <v>14</v>
      </c>
      <c r="E716" s="4" t="s">
        <v>25</v>
      </c>
      <c r="F716" s="4" t="s">
        <v>334</v>
      </c>
      <c r="G716" s="4">
        <v>2.0</v>
      </c>
      <c r="H716" s="6">
        <v>68.85</v>
      </c>
      <c r="I716" s="6">
        <v>137.7</v>
      </c>
      <c r="J716" s="6">
        <v>116.42</v>
      </c>
      <c r="K716" s="6">
        <v>21.28</v>
      </c>
      <c r="L716" s="4" t="str">
        <f t="shared" si="1"/>
        <v>Aug-2025</v>
      </c>
    </row>
    <row r="717" ht="15.75" customHeight="1">
      <c r="A717" s="4" t="s">
        <v>1014</v>
      </c>
      <c r="B717" s="5">
        <v>45881.0</v>
      </c>
      <c r="C717" s="4" t="s">
        <v>92</v>
      </c>
      <c r="D717" s="4" t="s">
        <v>14</v>
      </c>
      <c r="E717" s="4" t="s">
        <v>15</v>
      </c>
      <c r="F717" s="4" t="s">
        <v>573</v>
      </c>
      <c r="G717" s="4">
        <v>6.0</v>
      </c>
      <c r="H717" s="6">
        <v>964.08</v>
      </c>
      <c r="I717" s="6">
        <v>5784.48</v>
      </c>
      <c r="J717" s="6">
        <v>4146.52</v>
      </c>
      <c r="K717" s="6">
        <v>1637.96</v>
      </c>
      <c r="L717" s="4" t="str">
        <f t="shared" si="1"/>
        <v>Aug-2025</v>
      </c>
    </row>
    <row r="718" ht="15.75" customHeight="1">
      <c r="A718" s="4" t="s">
        <v>1015</v>
      </c>
      <c r="B718" s="5">
        <v>45882.0</v>
      </c>
      <c r="C718" s="4" t="s">
        <v>28</v>
      </c>
      <c r="D718" s="4" t="s">
        <v>14</v>
      </c>
      <c r="E718" s="4" t="s">
        <v>29</v>
      </c>
      <c r="F718" s="4" t="s">
        <v>223</v>
      </c>
      <c r="G718" s="4">
        <v>4.0</v>
      </c>
      <c r="H718" s="6">
        <v>1100.41</v>
      </c>
      <c r="I718" s="6">
        <v>4401.64</v>
      </c>
      <c r="J718" s="6">
        <v>3475.03</v>
      </c>
      <c r="K718" s="6">
        <v>926.61</v>
      </c>
      <c r="L718" s="4" t="str">
        <f t="shared" si="1"/>
        <v>Aug-2025</v>
      </c>
    </row>
    <row r="719" ht="15.75" customHeight="1">
      <c r="A719" s="4" t="s">
        <v>1016</v>
      </c>
      <c r="B719" s="5">
        <v>45882.0</v>
      </c>
      <c r="C719" s="4" t="s">
        <v>13</v>
      </c>
      <c r="D719" s="4" t="s">
        <v>14</v>
      </c>
      <c r="E719" s="4" t="s">
        <v>25</v>
      </c>
      <c r="F719" s="4" t="s">
        <v>153</v>
      </c>
      <c r="G719" s="4">
        <v>3.0</v>
      </c>
      <c r="H719" s="6">
        <v>564.42</v>
      </c>
      <c r="I719" s="6">
        <v>1693.26</v>
      </c>
      <c r="J719" s="6">
        <v>1243.91</v>
      </c>
      <c r="K719" s="6">
        <v>449.35</v>
      </c>
      <c r="L719" s="4" t="str">
        <f t="shared" si="1"/>
        <v>Aug-2025</v>
      </c>
    </row>
    <row r="720" ht="15.75" customHeight="1">
      <c r="A720" s="4" t="s">
        <v>1017</v>
      </c>
      <c r="B720" s="5">
        <v>45883.0</v>
      </c>
      <c r="C720" s="4" t="s">
        <v>35</v>
      </c>
      <c r="D720" s="4" t="s">
        <v>14</v>
      </c>
      <c r="E720" s="4" t="s">
        <v>25</v>
      </c>
      <c r="F720" s="4" t="s">
        <v>434</v>
      </c>
      <c r="G720" s="4">
        <v>2.0</v>
      </c>
      <c r="H720" s="6">
        <v>857.26</v>
      </c>
      <c r="I720" s="6">
        <v>1714.52</v>
      </c>
      <c r="J720" s="6">
        <v>1403.65</v>
      </c>
      <c r="K720" s="6">
        <v>310.87</v>
      </c>
      <c r="L720" s="4" t="str">
        <f t="shared" si="1"/>
        <v>Aug-2025</v>
      </c>
    </row>
    <row r="721" ht="15.75" customHeight="1">
      <c r="A721" s="4" t="s">
        <v>1018</v>
      </c>
      <c r="B721" s="5">
        <v>45883.0</v>
      </c>
      <c r="C721" s="4" t="s">
        <v>69</v>
      </c>
      <c r="D721" s="4" t="s">
        <v>19</v>
      </c>
      <c r="E721" s="4" t="s">
        <v>20</v>
      </c>
      <c r="F721" s="4" t="s">
        <v>962</v>
      </c>
      <c r="G721" s="4">
        <v>1.0</v>
      </c>
      <c r="H721" s="6">
        <v>48701.46</v>
      </c>
      <c r="I721" s="6">
        <v>48701.46</v>
      </c>
      <c r="J721" s="6">
        <v>44538.94</v>
      </c>
      <c r="K721" s="6">
        <v>4162.52</v>
      </c>
      <c r="L721" s="4" t="str">
        <f t="shared" si="1"/>
        <v>Aug-2025</v>
      </c>
    </row>
    <row r="722" ht="15.75" customHeight="1">
      <c r="A722" s="4" t="s">
        <v>1019</v>
      </c>
      <c r="B722" s="5">
        <v>45883.0</v>
      </c>
      <c r="C722" s="4" t="s">
        <v>38</v>
      </c>
      <c r="D722" s="4" t="s">
        <v>19</v>
      </c>
      <c r="E722" s="4" t="s">
        <v>25</v>
      </c>
      <c r="F722" s="4" t="s">
        <v>315</v>
      </c>
      <c r="G722" s="4">
        <v>1.0</v>
      </c>
      <c r="H722" s="6">
        <v>14633.72</v>
      </c>
      <c r="I722" s="6">
        <v>14633.72</v>
      </c>
      <c r="J722" s="6">
        <v>12094.04</v>
      </c>
      <c r="K722" s="6">
        <v>2539.68</v>
      </c>
      <c r="L722" s="4" t="str">
        <f t="shared" si="1"/>
        <v>Aug-2025</v>
      </c>
    </row>
    <row r="723" ht="15.75" customHeight="1">
      <c r="A723" s="4" t="s">
        <v>1020</v>
      </c>
      <c r="B723" s="5">
        <v>45883.0</v>
      </c>
      <c r="C723" s="4" t="s">
        <v>13</v>
      </c>
      <c r="D723" s="4" t="s">
        <v>14</v>
      </c>
      <c r="E723" s="4" t="s">
        <v>15</v>
      </c>
      <c r="F723" s="4" t="s">
        <v>945</v>
      </c>
      <c r="G723" s="4">
        <v>7.0</v>
      </c>
      <c r="H723" s="6">
        <v>673.03</v>
      </c>
      <c r="I723" s="6">
        <v>4711.21</v>
      </c>
      <c r="J723" s="6">
        <v>3546.31</v>
      </c>
      <c r="K723" s="6">
        <v>1164.9</v>
      </c>
      <c r="L723" s="4" t="str">
        <f t="shared" si="1"/>
        <v>Aug-2025</v>
      </c>
    </row>
    <row r="724" ht="15.75" customHeight="1">
      <c r="A724" s="4" t="s">
        <v>1021</v>
      </c>
      <c r="B724" s="5">
        <v>45883.0</v>
      </c>
      <c r="C724" s="4" t="s">
        <v>160</v>
      </c>
      <c r="D724" s="4" t="s">
        <v>42</v>
      </c>
      <c r="E724" s="4" t="s">
        <v>29</v>
      </c>
      <c r="F724" s="4" t="s">
        <v>302</v>
      </c>
      <c r="G724" s="4">
        <v>4.0</v>
      </c>
      <c r="H724" s="6">
        <v>2548.29</v>
      </c>
      <c r="I724" s="6">
        <v>10193.16</v>
      </c>
      <c r="J724" s="6">
        <v>7760.6</v>
      </c>
      <c r="K724" s="6">
        <v>2432.56</v>
      </c>
      <c r="L724" s="4" t="str">
        <f t="shared" si="1"/>
        <v>Aug-2025</v>
      </c>
    </row>
    <row r="725" ht="15.75" customHeight="1">
      <c r="A725" s="4" t="s">
        <v>1022</v>
      </c>
      <c r="B725" s="5">
        <v>45883.0</v>
      </c>
      <c r="C725" s="4" t="s">
        <v>75</v>
      </c>
      <c r="D725" s="4" t="s">
        <v>24</v>
      </c>
      <c r="E725" s="4" t="s">
        <v>29</v>
      </c>
      <c r="F725" s="4" t="s">
        <v>213</v>
      </c>
      <c r="G725" s="4">
        <v>3.0</v>
      </c>
      <c r="H725" s="6">
        <v>17108.24</v>
      </c>
      <c r="I725" s="6">
        <v>51324.72</v>
      </c>
      <c r="J725" s="6">
        <v>44015.15</v>
      </c>
      <c r="K725" s="6">
        <v>7309.57</v>
      </c>
      <c r="L725" s="4" t="str">
        <f t="shared" si="1"/>
        <v>Aug-2025</v>
      </c>
    </row>
    <row r="726" ht="15.75" customHeight="1">
      <c r="A726" s="4" t="s">
        <v>1023</v>
      </c>
      <c r="B726" s="5">
        <v>45883.0</v>
      </c>
      <c r="C726" s="4" t="s">
        <v>109</v>
      </c>
      <c r="D726" s="4" t="s">
        <v>42</v>
      </c>
      <c r="E726" s="4" t="s">
        <v>29</v>
      </c>
      <c r="F726" s="4" t="s">
        <v>626</v>
      </c>
      <c r="G726" s="4">
        <v>2.0</v>
      </c>
      <c r="H726" s="6">
        <v>2542.96</v>
      </c>
      <c r="I726" s="6">
        <v>5085.92</v>
      </c>
      <c r="J726" s="6">
        <v>4097.85</v>
      </c>
      <c r="K726" s="6">
        <v>988.07</v>
      </c>
      <c r="L726" s="4" t="str">
        <f t="shared" si="1"/>
        <v>Aug-2025</v>
      </c>
    </row>
    <row r="727" ht="15.75" customHeight="1">
      <c r="A727" s="4" t="s">
        <v>1024</v>
      </c>
      <c r="B727" s="5">
        <v>45883.0</v>
      </c>
      <c r="C727" s="4" t="s">
        <v>180</v>
      </c>
      <c r="D727" s="4" t="s">
        <v>19</v>
      </c>
      <c r="E727" s="4" t="s">
        <v>25</v>
      </c>
      <c r="F727" s="4" t="s">
        <v>243</v>
      </c>
      <c r="G727" s="4">
        <v>4.0</v>
      </c>
      <c r="H727" s="6">
        <v>60855.22</v>
      </c>
      <c r="I727" s="6">
        <v>243420.88</v>
      </c>
      <c r="J727" s="6">
        <v>212868.15</v>
      </c>
      <c r="K727" s="6">
        <v>30552.73</v>
      </c>
      <c r="L727" s="4" t="str">
        <f t="shared" si="1"/>
        <v>Aug-2025</v>
      </c>
    </row>
    <row r="728" ht="15.75" customHeight="1">
      <c r="A728" s="4" t="s">
        <v>1025</v>
      </c>
      <c r="B728" s="5">
        <v>45884.0</v>
      </c>
      <c r="C728" s="4" t="s">
        <v>140</v>
      </c>
      <c r="D728" s="4" t="s">
        <v>14</v>
      </c>
      <c r="E728" s="4" t="s">
        <v>29</v>
      </c>
      <c r="F728" s="4" t="s">
        <v>559</v>
      </c>
      <c r="G728" s="4">
        <v>7.0</v>
      </c>
      <c r="H728" s="6">
        <v>811.88</v>
      </c>
      <c r="I728" s="6">
        <v>5683.16</v>
      </c>
      <c r="J728" s="6">
        <v>4351.76</v>
      </c>
      <c r="K728" s="6">
        <v>1331.4</v>
      </c>
      <c r="L728" s="4" t="str">
        <f t="shared" si="1"/>
        <v>Aug-2025</v>
      </c>
    </row>
    <row r="729" ht="15.75" customHeight="1">
      <c r="A729" s="4" t="s">
        <v>1026</v>
      </c>
      <c r="B729" s="5">
        <v>45885.0</v>
      </c>
      <c r="C729" s="4" t="s">
        <v>13</v>
      </c>
      <c r="D729" s="4" t="s">
        <v>14</v>
      </c>
      <c r="E729" s="4" t="s">
        <v>15</v>
      </c>
      <c r="F729" s="4" t="s">
        <v>64</v>
      </c>
      <c r="G729" s="4">
        <v>6.0</v>
      </c>
      <c r="H729" s="6">
        <v>1202.0</v>
      </c>
      <c r="I729" s="6">
        <v>7212.0</v>
      </c>
      <c r="J729" s="6">
        <v>5746.25</v>
      </c>
      <c r="K729" s="6">
        <v>1465.75</v>
      </c>
      <c r="L729" s="4" t="str">
        <f t="shared" si="1"/>
        <v>Aug-2025</v>
      </c>
    </row>
    <row r="730" ht="15.75" customHeight="1">
      <c r="A730" s="4" t="s">
        <v>1027</v>
      </c>
      <c r="B730" s="5">
        <v>45885.0</v>
      </c>
      <c r="C730" s="4" t="s">
        <v>47</v>
      </c>
      <c r="D730" s="4" t="s">
        <v>14</v>
      </c>
      <c r="E730" s="4" t="s">
        <v>15</v>
      </c>
      <c r="F730" s="4" t="s">
        <v>352</v>
      </c>
      <c r="G730" s="4">
        <v>5.0</v>
      </c>
      <c r="H730" s="6">
        <v>809.32</v>
      </c>
      <c r="I730" s="6">
        <v>4046.6</v>
      </c>
      <c r="J730" s="6">
        <v>2826.36</v>
      </c>
      <c r="K730" s="6">
        <v>1220.24</v>
      </c>
      <c r="L730" s="4" t="str">
        <f t="shared" si="1"/>
        <v>Aug-2025</v>
      </c>
    </row>
    <row r="731" ht="15.75" customHeight="1">
      <c r="A731" s="4" t="s">
        <v>1028</v>
      </c>
      <c r="B731" s="5">
        <v>45886.0</v>
      </c>
      <c r="C731" s="4" t="s">
        <v>23</v>
      </c>
      <c r="D731" s="4" t="s">
        <v>24</v>
      </c>
      <c r="E731" s="4" t="s">
        <v>29</v>
      </c>
      <c r="F731" s="4" t="s">
        <v>150</v>
      </c>
      <c r="G731" s="4">
        <v>5.0</v>
      </c>
      <c r="H731" s="6">
        <v>2460.84</v>
      </c>
      <c r="I731" s="6">
        <v>12304.2</v>
      </c>
      <c r="J731" s="6">
        <v>10343.49</v>
      </c>
      <c r="K731" s="6">
        <v>1960.71</v>
      </c>
      <c r="L731" s="4" t="str">
        <f t="shared" si="1"/>
        <v>Aug-2025</v>
      </c>
    </row>
    <row r="732" ht="15.75" customHeight="1">
      <c r="A732" s="4" t="s">
        <v>1029</v>
      </c>
      <c r="B732" s="5">
        <v>45886.0</v>
      </c>
      <c r="C732" s="4" t="s">
        <v>66</v>
      </c>
      <c r="D732" s="4" t="s">
        <v>42</v>
      </c>
      <c r="E732" s="4" t="s">
        <v>29</v>
      </c>
      <c r="F732" s="4" t="s">
        <v>1030</v>
      </c>
      <c r="G732" s="4">
        <v>6.0</v>
      </c>
      <c r="H732" s="6">
        <v>305.92</v>
      </c>
      <c r="I732" s="6">
        <v>1835.52</v>
      </c>
      <c r="J732" s="6">
        <v>1574.78</v>
      </c>
      <c r="K732" s="6">
        <v>260.74</v>
      </c>
      <c r="L732" s="4" t="str">
        <f t="shared" si="1"/>
        <v>Aug-2025</v>
      </c>
    </row>
    <row r="733" ht="15.75" customHeight="1">
      <c r="A733" s="4" t="s">
        <v>1032</v>
      </c>
      <c r="B733" s="5">
        <v>45886.0</v>
      </c>
      <c r="C733" s="4" t="s">
        <v>35</v>
      </c>
      <c r="D733" s="4" t="s">
        <v>14</v>
      </c>
      <c r="E733" s="4" t="s">
        <v>29</v>
      </c>
      <c r="F733" s="4" t="s">
        <v>461</v>
      </c>
      <c r="G733" s="4">
        <v>7.0</v>
      </c>
      <c r="H733" s="6">
        <v>1093.5</v>
      </c>
      <c r="I733" s="6">
        <v>7654.5</v>
      </c>
      <c r="J733" s="6">
        <v>5555.76</v>
      </c>
      <c r="K733" s="6">
        <v>2098.74</v>
      </c>
      <c r="L733" s="4" t="str">
        <f t="shared" si="1"/>
        <v>Aug-2025</v>
      </c>
    </row>
    <row r="734" ht="15.75" customHeight="1">
      <c r="A734" s="4" t="s">
        <v>1033</v>
      </c>
      <c r="B734" s="5">
        <v>45887.0</v>
      </c>
      <c r="C734" s="4" t="s">
        <v>72</v>
      </c>
      <c r="D734" s="4" t="s">
        <v>24</v>
      </c>
      <c r="E734" s="4" t="s">
        <v>15</v>
      </c>
      <c r="F734" s="4" t="s">
        <v>510</v>
      </c>
      <c r="G734" s="4">
        <v>6.0</v>
      </c>
      <c r="H734" s="6">
        <v>17530.42</v>
      </c>
      <c r="I734" s="6">
        <v>105182.52</v>
      </c>
      <c r="J734" s="6">
        <v>80509.33</v>
      </c>
      <c r="K734" s="6">
        <v>24673.19</v>
      </c>
      <c r="L734" s="4" t="str">
        <f t="shared" si="1"/>
        <v>Aug-2025</v>
      </c>
    </row>
    <row r="735" ht="15.75" customHeight="1">
      <c r="A735" s="4" t="s">
        <v>1034</v>
      </c>
      <c r="B735" s="5">
        <v>45887.0</v>
      </c>
      <c r="C735" s="4" t="s">
        <v>72</v>
      </c>
      <c r="D735" s="4" t="s">
        <v>24</v>
      </c>
      <c r="E735" s="4" t="s">
        <v>15</v>
      </c>
      <c r="F735" s="4" t="s">
        <v>129</v>
      </c>
      <c r="G735" s="4">
        <v>5.0</v>
      </c>
      <c r="H735" s="6">
        <v>14210.67</v>
      </c>
      <c r="I735" s="6">
        <v>71053.35</v>
      </c>
      <c r="J735" s="6">
        <v>57480.41</v>
      </c>
      <c r="K735" s="6">
        <v>13572.94</v>
      </c>
      <c r="L735" s="4" t="str">
        <f t="shared" si="1"/>
        <v>Aug-2025</v>
      </c>
    </row>
    <row r="736" ht="15.75" customHeight="1">
      <c r="A736" s="4" t="s">
        <v>1035</v>
      </c>
      <c r="B736" s="5">
        <v>45887.0</v>
      </c>
      <c r="C736" s="4" t="s">
        <v>47</v>
      </c>
      <c r="D736" s="4" t="s">
        <v>14</v>
      </c>
      <c r="E736" s="4" t="s">
        <v>15</v>
      </c>
      <c r="F736" s="4" t="s">
        <v>127</v>
      </c>
      <c r="G736" s="4">
        <v>5.0</v>
      </c>
      <c r="H736" s="6">
        <v>1469.34</v>
      </c>
      <c r="I736" s="6">
        <v>7346.7</v>
      </c>
      <c r="J736" s="6">
        <v>6112.36</v>
      </c>
      <c r="K736" s="6">
        <v>1234.34</v>
      </c>
      <c r="L736" s="4" t="str">
        <f t="shared" si="1"/>
        <v>Aug-2025</v>
      </c>
    </row>
    <row r="737" ht="15.75" customHeight="1">
      <c r="A737" s="4" t="s">
        <v>1036</v>
      </c>
      <c r="B737" s="5">
        <v>45887.0</v>
      </c>
      <c r="C737" s="4" t="s">
        <v>102</v>
      </c>
      <c r="D737" s="4" t="s">
        <v>24</v>
      </c>
      <c r="E737" s="4" t="s">
        <v>15</v>
      </c>
      <c r="F737" s="4" t="s">
        <v>362</v>
      </c>
      <c r="G737" s="4">
        <v>4.0</v>
      </c>
      <c r="H737" s="6">
        <v>16234.28</v>
      </c>
      <c r="I737" s="6">
        <v>64937.12</v>
      </c>
      <c r="J737" s="6">
        <v>51085.98</v>
      </c>
      <c r="K737" s="6">
        <v>13851.14</v>
      </c>
      <c r="L737" s="4" t="str">
        <f t="shared" si="1"/>
        <v>Aug-2025</v>
      </c>
    </row>
    <row r="738" ht="15.75" customHeight="1">
      <c r="A738" s="4" t="s">
        <v>1040</v>
      </c>
      <c r="B738" s="5">
        <v>45888.0</v>
      </c>
      <c r="C738" s="4" t="s">
        <v>61</v>
      </c>
      <c r="D738" s="4" t="s">
        <v>19</v>
      </c>
      <c r="E738" s="4" t="s">
        <v>20</v>
      </c>
      <c r="F738" s="4" t="s">
        <v>516</v>
      </c>
      <c r="G738" s="4">
        <v>6.0</v>
      </c>
      <c r="H738" s="6">
        <v>18647.44</v>
      </c>
      <c r="I738" s="6">
        <v>111884.64</v>
      </c>
      <c r="J738" s="6">
        <v>93906.34</v>
      </c>
      <c r="K738" s="6">
        <v>17978.3</v>
      </c>
      <c r="L738" s="4" t="str">
        <f t="shared" si="1"/>
        <v>Aug-2025</v>
      </c>
    </row>
    <row r="739" ht="15.75" customHeight="1">
      <c r="A739" s="4" t="s">
        <v>1042</v>
      </c>
      <c r="B739" s="5">
        <v>45888.0</v>
      </c>
      <c r="C739" s="4" t="s">
        <v>75</v>
      </c>
      <c r="D739" s="4" t="s">
        <v>24</v>
      </c>
      <c r="E739" s="4" t="s">
        <v>15</v>
      </c>
      <c r="F739" s="4" t="s">
        <v>552</v>
      </c>
      <c r="G739" s="4">
        <v>1.0</v>
      </c>
      <c r="H739" s="6">
        <v>6466.09</v>
      </c>
      <c r="I739" s="6">
        <v>6466.09</v>
      </c>
      <c r="J739" s="6">
        <v>5097.58</v>
      </c>
      <c r="K739" s="6">
        <v>1368.51</v>
      </c>
      <c r="L739" s="4" t="str">
        <f t="shared" si="1"/>
        <v>Aug-2025</v>
      </c>
    </row>
    <row r="740" ht="15.75" customHeight="1">
      <c r="A740" s="4" t="s">
        <v>1043</v>
      </c>
      <c r="B740" s="5">
        <v>45888.0</v>
      </c>
      <c r="C740" s="4" t="s">
        <v>35</v>
      </c>
      <c r="D740" s="4" t="s">
        <v>14</v>
      </c>
      <c r="E740" s="4" t="s">
        <v>15</v>
      </c>
      <c r="F740" s="4" t="s">
        <v>171</v>
      </c>
      <c r="G740" s="4">
        <v>4.0</v>
      </c>
      <c r="H740" s="6">
        <v>1301.5</v>
      </c>
      <c r="I740" s="6">
        <v>5206.0</v>
      </c>
      <c r="J740" s="6">
        <v>4368.85</v>
      </c>
      <c r="K740" s="6">
        <v>837.15</v>
      </c>
      <c r="L740" s="4" t="str">
        <f t="shared" si="1"/>
        <v>Aug-2025</v>
      </c>
    </row>
    <row r="741" ht="15.75" customHeight="1">
      <c r="A741" s="4" t="s">
        <v>1044</v>
      </c>
      <c r="B741" s="5">
        <v>45888.0</v>
      </c>
      <c r="C741" s="4" t="s">
        <v>61</v>
      </c>
      <c r="D741" s="4" t="s">
        <v>19</v>
      </c>
      <c r="E741" s="4" t="s">
        <v>15</v>
      </c>
      <c r="F741" s="4" t="s">
        <v>820</v>
      </c>
      <c r="G741" s="4">
        <v>6.0</v>
      </c>
      <c r="H741" s="6">
        <v>3720.65</v>
      </c>
      <c r="I741" s="6">
        <v>22323.9</v>
      </c>
      <c r="J741" s="6">
        <v>20479.46</v>
      </c>
      <c r="K741" s="6">
        <v>1844.44</v>
      </c>
      <c r="L741" s="4" t="str">
        <f t="shared" si="1"/>
        <v>Aug-2025</v>
      </c>
    </row>
    <row r="742" ht="15.75" customHeight="1">
      <c r="A742" s="4" t="s">
        <v>1045</v>
      </c>
      <c r="B742" s="5">
        <v>45888.0</v>
      </c>
      <c r="C742" s="4" t="s">
        <v>47</v>
      </c>
      <c r="D742" s="4" t="s">
        <v>14</v>
      </c>
      <c r="E742" s="4" t="s">
        <v>29</v>
      </c>
      <c r="F742" s="4" t="s">
        <v>173</v>
      </c>
      <c r="G742" s="4">
        <v>3.0</v>
      </c>
      <c r="H742" s="6">
        <v>683.43</v>
      </c>
      <c r="I742" s="6">
        <v>2050.29</v>
      </c>
      <c r="J742" s="6">
        <v>1687.36</v>
      </c>
      <c r="K742" s="6">
        <v>362.93</v>
      </c>
      <c r="L742" s="4" t="str">
        <f t="shared" si="1"/>
        <v>Aug-2025</v>
      </c>
    </row>
    <row r="743" ht="15.75" customHeight="1">
      <c r="A743" s="4" t="s">
        <v>1046</v>
      </c>
      <c r="B743" s="5">
        <v>45888.0</v>
      </c>
      <c r="C743" s="4" t="s">
        <v>69</v>
      </c>
      <c r="D743" s="4" t="s">
        <v>19</v>
      </c>
      <c r="E743" s="4" t="s">
        <v>20</v>
      </c>
      <c r="F743" s="4" t="s">
        <v>461</v>
      </c>
      <c r="G743" s="4">
        <v>3.0</v>
      </c>
      <c r="H743" s="6">
        <v>23265.36</v>
      </c>
      <c r="I743" s="6">
        <v>69796.08</v>
      </c>
      <c r="J743" s="6">
        <v>60365.13</v>
      </c>
      <c r="K743" s="6">
        <v>9430.95</v>
      </c>
      <c r="L743" s="4" t="str">
        <f t="shared" si="1"/>
        <v>Aug-2025</v>
      </c>
    </row>
    <row r="744" ht="15.75" customHeight="1">
      <c r="A744" s="4" t="s">
        <v>1047</v>
      </c>
      <c r="B744" s="5">
        <v>45889.0</v>
      </c>
      <c r="C744" s="4" t="s">
        <v>72</v>
      </c>
      <c r="D744" s="4" t="s">
        <v>24</v>
      </c>
      <c r="E744" s="4" t="s">
        <v>29</v>
      </c>
      <c r="F744" s="4" t="s">
        <v>80</v>
      </c>
      <c r="G744" s="4">
        <v>2.0</v>
      </c>
      <c r="H744" s="6">
        <v>17048.8</v>
      </c>
      <c r="I744" s="6">
        <v>34097.6</v>
      </c>
      <c r="J744" s="6">
        <v>29651.82</v>
      </c>
      <c r="K744" s="6">
        <v>4445.78</v>
      </c>
      <c r="L744" s="4" t="str">
        <f t="shared" si="1"/>
        <v>Aug-2025</v>
      </c>
    </row>
    <row r="745" ht="15.75" customHeight="1">
      <c r="A745" s="4" t="s">
        <v>1048</v>
      </c>
      <c r="B745" s="5">
        <v>45889.0</v>
      </c>
      <c r="C745" s="4" t="s">
        <v>23</v>
      </c>
      <c r="D745" s="4" t="s">
        <v>24</v>
      </c>
      <c r="E745" s="4" t="s">
        <v>25</v>
      </c>
      <c r="F745" s="4" t="s">
        <v>945</v>
      </c>
      <c r="G745" s="4">
        <v>5.0</v>
      </c>
      <c r="H745" s="6">
        <v>10332.61</v>
      </c>
      <c r="I745" s="6">
        <v>51663.05</v>
      </c>
      <c r="J745" s="6">
        <v>44352.26</v>
      </c>
      <c r="K745" s="6">
        <v>7310.79</v>
      </c>
      <c r="L745" s="4" t="str">
        <f t="shared" si="1"/>
        <v>Aug-2025</v>
      </c>
    </row>
    <row r="746" ht="15.75" customHeight="1">
      <c r="A746" s="4" t="s">
        <v>1050</v>
      </c>
      <c r="B746" s="5">
        <v>45889.0</v>
      </c>
      <c r="C746" s="4" t="s">
        <v>61</v>
      </c>
      <c r="D746" s="4" t="s">
        <v>19</v>
      </c>
      <c r="E746" s="4" t="s">
        <v>25</v>
      </c>
      <c r="F746" s="4" t="s">
        <v>516</v>
      </c>
      <c r="G746" s="4">
        <v>2.0</v>
      </c>
      <c r="H746" s="6">
        <v>15341.73</v>
      </c>
      <c r="I746" s="6">
        <v>30683.46</v>
      </c>
      <c r="J746" s="6">
        <v>24753.82</v>
      </c>
      <c r="K746" s="6">
        <v>5929.64</v>
      </c>
      <c r="L746" s="4" t="str">
        <f t="shared" si="1"/>
        <v>Aug-2025</v>
      </c>
    </row>
    <row r="747" ht="15.75" customHeight="1">
      <c r="A747" s="4" t="s">
        <v>1052</v>
      </c>
      <c r="B747" s="5">
        <v>45889.0</v>
      </c>
      <c r="C747" s="4" t="s">
        <v>75</v>
      </c>
      <c r="D747" s="4" t="s">
        <v>24</v>
      </c>
      <c r="E747" s="4" t="s">
        <v>25</v>
      </c>
      <c r="F747" s="4" t="s">
        <v>725</v>
      </c>
      <c r="G747" s="4">
        <v>1.0</v>
      </c>
      <c r="H747" s="6">
        <v>12837.08</v>
      </c>
      <c r="I747" s="6">
        <v>12837.08</v>
      </c>
      <c r="J747" s="6">
        <v>10456.2</v>
      </c>
      <c r="K747" s="6">
        <v>2380.88</v>
      </c>
      <c r="L747" s="4" t="str">
        <f t="shared" si="1"/>
        <v>Aug-2025</v>
      </c>
    </row>
    <row r="748" ht="15.75" customHeight="1">
      <c r="A748" s="4" t="s">
        <v>1053</v>
      </c>
      <c r="B748" s="5">
        <v>45890.0</v>
      </c>
      <c r="C748" s="4" t="s">
        <v>32</v>
      </c>
      <c r="D748" s="4" t="s">
        <v>19</v>
      </c>
      <c r="E748" s="4" t="s">
        <v>25</v>
      </c>
      <c r="F748" s="4" t="s">
        <v>332</v>
      </c>
      <c r="G748" s="4">
        <v>3.0</v>
      </c>
      <c r="H748" s="6">
        <v>61428.98</v>
      </c>
      <c r="I748" s="6">
        <v>184286.94</v>
      </c>
      <c r="J748" s="6">
        <v>150503.26</v>
      </c>
      <c r="K748" s="6">
        <v>33783.68</v>
      </c>
      <c r="L748" s="4" t="str">
        <f t="shared" si="1"/>
        <v>Aug-2025</v>
      </c>
    </row>
    <row r="749" ht="15.75" customHeight="1">
      <c r="A749" s="4" t="s">
        <v>1054</v>
      </c>
      <c r="B749" s="5">
        <v>45890.0</v>
      </c>
      <c r="C749" s="4" t="s">
        <v>109</v>
      </c>
      <c r="D749" s="4" t="s">
        <v>42</v>
      </c>
      <c r="E749" s="4" t="s">
        <v>20</v>
      </c>
      <c r="F749" s="4" t="s">
        <v>245</v>
      </c>
      <c r="G749" s="4">
        <v>7.0</v>
      </c>
      <c r="H749" s="6">
        <v>1258.26</v>
      </c>
      <c r="I749" s="6">
        <v>8807.82</v>
      </c>
      <c r="J749" s="6">
        <v>6988.45</v>
      </c>
      <c r="K749" s="6">
        <v>1819.37</v>
      </c>
      <c r="L749" s="4" t="str">
        <f t="shared" si="1"/>
        <v>Aug-2025</v>
      </c>
    </row>
    <row r="750" ht="15.75" customHeight="1">
      <c r="A750" s="4" t="s">
        <v>1055</v>
      </c>
      <c r="B750" s="5">
        <v>45890.0</v>
      </c>
      <c r="C750" s="4" t="s">
        <v>140</v>
      </c>
      <c r="D750" s="4" t="s">
        <v>14</v>
      </c>
      <c r="E750" s="4" t="s">
        <v>29</v>
      </c>
      <c r="F750" s="4" t="s">
        <v>227</v>
      </c>
      <c r="G750" s="4">
        <v>5.0</v>
      </c>
      <c r="H750" s="6">
        <v>1083.9</v>
      </c>
      <c r="I750" s="6">
        <v>5419.5</v>
      </c>
      <c r="J750" s="6">
        <v>4094.27</v>
      </c>
      <c r="K750" s="6">
        <v>1325.23</v>
      </c>
      <c r="L750" s="4" t="str">
        <f t="shared" si="1"/>
        <v>Aug-2025</v>
      </c>
    </row>
    <row r="751" ht="15.75" customHeight="1">
      <c r="A751" s="4" t="s">
        <v>1056</v>
      </c>
      <c r="B751" s="5">
        <v>45890.0</v>
      </c>
      <c r="C751" s="4" t="s">
        <v>35</v>
      </c>
      <c r="D751" s="4" t="s">
        <v>14</v>
      </c>
      <c r="E751" s="4" t="s">
        <v>29</v>
      </c>
      <c r="F751" s="4" t="s">
        <v>643</v>
      </c>
      <c r="G751" s="4">
        <v>7.0</v>
      </c>
      <c r="H751" s="6">
        <v>618.62</v>
      </c>
      <c r="I751" s="6">
        <v>4330.34</v>
      </c>
      <c r="J751" s="6">
        <v>3100.1</v>
      </c>
      <c r="K751" s="6">
        <v>1230.24</v>
      </c>
      <c r="L751" s="4" t="str">
        <f t="shared" si="1"/>
        <v>Aug-2025</v>
      </c>
    </row>
    <row r="752" ht="15.75" customHeight="1">
      <c r="A752" s="4" t="s">
        <v>1057</v>
      </c>
      <c r="B752" s="5">
        <v>45891.0</v>
      </c>
      <c r="C752" s="4" t="s">
        <v>18</v>
      </c>
      <c r="D752" s="4" t="s">
        <v>19</v>
      </c>
      <c r="E752" s="4" t="s">
        <v>20</v>
      </c>
      <c r="F752" s="4" t="s">
        <v>607</v>
      </c>
      <c r="G752" s="4">
        <v>4.0</v>
      </c>
      <c r="H752" s="6">
        <v>49460.08</v>
      </c>
      <c r="I752" s="6">
        <v>197840.32</v>
      </c>
      <c r="J752" s="6">
        <v>170213.34</v>
      </c>
      <c r="K752" s="6">
        <v>27626.98</v>
      </c>
      <c r="L752" s="4" t="str">
        <f t="shared" si="1"/>
        <v>Aug-2025</v>
      </c>
    </row>
    <row r="753" ht="15.75" customHeight="1">
      <c r="A753" s="4" t="s">
        <v>1060</v>
      </c>
      <c r="B753" s="5">
        <v>45891.0</v>
      </c>
      <c r="C753" s="4" t="s">
        <v>41</v>
      </c>
      <c r="D753" s="4" t="s">
        <v>42</v>
      </c>
      <c r="E753" s="4" t="s">
        <v>25</v>
      </c>
      <c r="F753" s="4" t="s">
        <v>822</v>
      </c>
      <c r="G753" s="4">
        <v>3.0</v>
      </c>
      <c r="H753" s="6">
        <v>536.02</v>
      </c>
      <c r="I753" s="6">
        <v>1608.06</v>
      </c>
      <c r="J753" s="6">
        <v>1356.93</v>
      </c>
      <c r="K753" s="6">
        <v>251.13</v>
      </c>
      <c r="L753" s="4" t="str">
        <f t="shared" si="1"/>
        <v>Aug-2025</v>
      </c>
    </row>
    <row r="754" ht="15.75" customHeight="1">
      <c r="A754" s="4" t="s">
        <v>1063</v>
      </c>
      <c r="B754" s="5">
        <v>45891.0</v>
      </c>
      <c r="C754" s="4" t="s">
        <v>23</v>
      </c>
      <c r="D754" s="4" t="s">
        <v>24</v>
      </c>
      <c r="E754" s="4" t="s">
        <v>25</v>
      </c>
      <c r="F754" s="4" t="s">
        <v>546</v>
      </c>
      <c r="G754" s="4">
        <v>3.0</v>
      </c>
      <c r="H754" s="6">
        <v>6520.78</v>
      </c>
      <c r="I754" s="6">
        <v>19562.34</v>
      </c>
      <c r="J754" s="6">
        <v>15792.53</v>
      </c>
      <c r="K754" s="6">
        <v>3769.81</v>
      </c>
      <c r="L754" s="4" t="str">
        <f t="shared" si="1"/>
        <v>Aug-2025</v>
      </c>
    </row>
    <row r="755" ht="15.75" customHeight="1">
      <c r="A755" s="4" t="s">
        <v>1066</v>
      </c>
      <c r="B755" s="5">
        <v>45891.0</v>
      </c>
      <c r="C755" s="4" t="s">
        <v>180</v>
      </c>
      <c r="D755" s="4" t="s">
        <v>19</v>
      </c>
      <c r="E755" s="4" t="s">
        <v>25</v>
      </c>
      <c r="F755" s="4" t="s">
        <v>399</v>
      </c>
      <c r="G755" s="4">
        <v>4.0</v>
      </c>
      <c r="H755" s="6">
        <v>29087.26</v>
      </c>
      <c r="I755" s="6">
        <v>116349.04</v>
      </c>
      <c r="J755" s="6">
        <v>93208.9</v>
      </c>
      <c r="K755" s="6">
        <v>23140.14</v>
      </c>
      <c r="L755" s="4" t="str">
        <f t="shared" si="1"/>
        <v>Aug-2025</v>
      </c>
    </row>
    <row r="756" ht="15.75" customHeight="1">
      <c r="A756" s="4" t="s">
        <v>1067</v>
      </c>
      <c r="B756" s="5">
        <v>45892.0</v>
      </c>
      <c r="C756" s="4" t="s">
        <v>32</v>
      </c>
      <c r="D756" s="4" t="s">
        <v>19</v>
      </c>
      <c r="E756" s="4" t="s">
        <v>29</v>
      </c>
      <c r="F756" s="4" t="s">
        <v>771</v>
      </c>
      <c r="G756" s="4">
        <v>2.0</v>
      </c>
      <c r="H756" s="6">
        <v>61330.09</v>
      </c>
      <c r="I756" s="6">
        <v>122660.18</v>
      </c>
      <c r="J756" s="6">
        <v>105977.49</v>
      </c>
      <c r="K756" s="6">
        <v>16682.69</v>
      </c>
      <c r="L756" s="4" t="str">
        <f t="shared" si="1"/>
        <v>Aug-2025</v>
      </c>
    </row>
    <row r="757" ht="15.75" customHeight="1">
      <c r="A757" s="4" t="s">
        <v>1068</v>
      </c>
      <c r="B757" s="5">
        <v>45892.0</v>
      </c>
      <c r="C757" s="4" t="s">
        <v>23</v>
      </c>
      <c r="D757" s="4" t="s">
        <v>24</v>
      </c>
      <c r="E757" s="4" t="s">
        <v>20</v>
      </c>
      <c r="F757" s="4" t="s">
        <v>668</v>
      </c>
      <c r="G757" s="4">
        <v>4.0</v>
      </c>
      <c r="H757" s="6">
        <v>9275.45</v>
      </c>
      <c r="I757" s="6">
        <v>37101.8</v>
      </c>
      <c r="J757" s="6">
        <v>32227.04</v>
      </c>
      <c r="K757" s="6">
        <v>4874.76</v>
      </c>
      <c r="L757" s="4" t="str">
        <f t="shared" si="1"/>
        <v>Aug-2025</v>
      </c>
    </row>
    <row r="758" ht="15.75" customHeight="1">
      <c r="A758" s="4" t="s">
        <v>1069</v>
      </c>
      <c r="B758" s="5">
        <v>45892.0</v>
      </c>
      <c r="C758" s="4" t="s">
        <v>140</v>
      </c>
      <c r="D758" s="4" t="s">
        <v>14</v>
      </c>
      <c r="E758" s="4" t="s">
        <v>15</v>
      </c>
      <c r="F758" s="4" t="s">
        <v>334</v>
      </c>
      <c r="G758" s="4">
        <v>6.0</v>
      </c>
      <c r="H758" s="6">
        <v>989.36</v>
      </c>
      <c r="I758" s="6">
        <v>5936.16</v>
      </c>
      <c r="J758" s="6">
        <v>4965.42</v>
      </c>
      <c r="K758" s="6">
        <v>970.74</v>
      </c>
      <c r="L758" s="4" t="str">
        <f t="shared" si="1"/>
        <v>Aug-2025</v>
      </c>
    </row>
    <row r="759" ht="15.75" customHeight="1">
      <c r="A759" s="4" t="s">
        <v>1070</v>
      </c>
      <c r="B759" s="5">
        <v>45892.0</v>
      </c>
      <c r="C759" s="4" t="s">
        <v>13</v>
      </c>
      <c r="D759" s="4" t="s">
        <v>14</v>
      </c>
      <c r="E759" s="4" t="s">
        <v>25</v>
      </c>
      <c r="F759" s="4" t="s">
        <v>189</v>
      </c>
      <c r="G759" s="4">
        <v>2.0</v>
      </c>
      <c r="H759" s="6">
        <v>1351.47</v>
      </c>
      <c r="I759" s="6">
        <v>2702.94</v>
      </c>
      <c r="J759" s="6">
        <v>2251.56</v>
      </c>
      <c r="K759" s="6">
        <v>451.38</v>
      </c>
      <c r="L759" s="4" t="str">
        <f t="shared" si="1"/>
        <v>Aug-2025</v>
      </c>
    </row>
    <row r="760" ht="15.75" customHeight="1">
      <c r="A760" s="4" t="s">
        <v>1071</v>
      </c>
      <c r="B760" s="5">
        <v>45892.0</v>
      </c>
      <c r="C760" s="4" t="s">
        <v>13</v>
      </c>
      <c r="D760" s="4" t="s">
        <v>14</v>
      </c>
      <c r="E760" s="4" t="s">
        <v>15</v>
      </c>
      <c r="F760" s="4" t="s">
        <v>268</v>
      </c>
      <c r="G760" s="4">
        <v>5.0</v>
      </c>
      <c r="H760" s="6">
        <v>958.86</v>
      </c>
      <c r="I760" s="6">
        <v>4794.3</v>
      </c>
      <c r="J760" s="6">
        <v>3683.79</v>
      </c>
      <c r="K760" s="6">
        <v>1110.51</v>
      </c>
      <c r="L760" s="4" t="str">
        <f t="shared" si="1"/>
        <v>Aug-2025</v>
      </c>
    </row>
    <row r="761" ht="15.75" customHeight="1">
      <c r="A761" s="4" t="s">
        <v>1072</v>
      </c>
      <c r="B761" s="5">
        <v>45892.0</v>
      </c>
      <c r="C761" s="4" t="s">
        <v>72</v>
      </c>
      <c r="D761" s="4" t="s">
        <v>24</v>
      </c>
      <c r="E761" s="4" t="s">
        <v>29</v>
      </c>
      <c r="F761" s="4" t="s">
        <v>70</v>
      </c>
      <c r="G761" s="4">
        <v>1.0</v>
      </c>
      <c r="H761" s="6">
        <v>17725.26</v>
      </c>
      <c r="I761" s="6">
        <v>17725.26</v>
      </c>
      <c r="J761" s="6">
        <v>13402.42</v>
      </c>
      <c r="K761" s="6">
        <v>4322.84</v>
      </c>
      <c r="L761" s="4" t="str">
        <f t="shared" si="1"/>
        <v>Aug-2025</v>
      </c>
    </row>
    <row r="762" ht="15.75" customHeight="1">
      <c r="A762" s="4" t="s">
        <v>1073</v>
      </c>
      <c r="B762" s="5">
        <v>45893.0</v>
      </c>
      <c r="C762" s="4" t="s">
        <v>75</v>
      </c>
      <c r="D762" s="4" t="s">
        <v>24</v>
      </c>
      <c r="E762" s="4" t="s">
        <v>25</v>
      </c>
      <c r="F762" s="4" t="s">
        <v>62</v>
      </c>
      <c r="G762" s="4">
        <v>1.0</v>
      </c>
      <c r="H762" s="6">
        <v>4169.08</v>
      </c>
      <c r="I762" s="6">
        <v>4169.08</v>
      </c>
      <c r="J762" s="6">
        <v>3625.96</v>
      </c>
      <c r="K762" s="6">
        <v>543.12</v>
      </c>
      <c r="L762" s="4" t="str">
        <f t="shared" si="1"/>
        <v>Aug-2025</v>
      </c>
    </row>
    <row r="763" ht="15.75" customHeight="1">
      <c r="A763" s="4" t="s">
        <v>1074</v>
      </c>
      <c r="B763" s="5">
        <v>45893.0</v>
      </c>
      <c r="C763" s="4" t="s">
        <v>75</v>
      </c>
      <c r="D763" s="4" t="s">
        <v>24</v>
      </c>
      <c r="E763" s="4" t="s">
        <v>25</v>
      </c>
      <c r="F763" s="4" t="s">
        <v>735</v>
      </c>
      <c r="G763" s="4">
        <v>2.0</v>
      </c>
      <c r="H763" s="6">
        <v>1358.89</v>
      </c>
      <c r="I763" s="6">
        <v>2717.78</v>
      </c>
      <c r="J763" s="6">
        <v>2088.04</v>
      </c>
      <c r="K763" s="6">
        <v>629.74</v>
      </c>
      <c r="L763" s="4" t="str">
        <f t="shared" si="1"/>
        <v>Aug-2025</v>
      </c>
    </row>
    <row r="764" ht="15.75" customHeight="1">
      <c r="A764" s="4" t="s">
        <v>1075</v>
      </c>
      <c r="B764" s="5">
        <v>45893.0</v>
      </c>
      <c r="C764" s="4" t="s">
        <v>18</v>
      </c>
      <c r="D764" s="4" t="s">
        <v>19</v>
      </c>
      <c r="E764" s="4" t="s">
        <v>20</v>
      </c>
      <c r="F764" s="4" t="s">
        <v>141</v>
      </c>
      <c r="G764" s="4">
        <v>4.0</v>
      </c>
      <c r="H764" s="6">
        <v>32614.31</v>
      </c>
      <c r="I764" s="6">
        <v>130457.24</v>
      </c>
      <c r="J764" s="6">
        <v>119178.71</v>
      </c>
      <c r="K764" s="6">
        <v>11278.53</v>
      </c>
      <c r="L764" s="4" t="str">
        <f t="shared" si="1"/>
        <v>Aug-2025</v>
      </c>
    </row>
    <row r="765" ht="15.75" customHeight="1">
      <c r="A765" s="4" t="s">
        <v>1076</v>
      </c>
      <c r="B765" s="5">
        <v>45893.0</v>
      </c>
      <c r="C765" s="4" t="s">
        <v>47</v>
      </c>
      <c r="D765" s="4" t="s">
        <v>14</v>
      </c>
      <c r="E765" s="4" t="s">
        <v>15</v>
      </c>
      <c r="F765" s="4" t="s">
        <v>233</v>
      </c>
      <c r="G765" s="4">
        <v>5.0</v>
      </c>
      <c r="H765" s="6">
        <v>865.85</v>
      </c>
      <c r="I765" s="6">
        <v>4329.25</v>
      </c>
      <c r="J765" s="6">
        <v>3527.14</v>
      </c>
      <c r="K765" s="6">
        <v>802.11</v>
      </c>
      <c r="L765" s="4" t="str">
        <f t="shared" si="1"/>
        <v>Aug-2025</v>
      </c>
    </row>
    <row r="766" ht="15.75" customHeight="1">
      <c r="A766" s="4" t="s">
        <v>1077</v>
      </c>
      <c r="B766" s="5">
        <v>45894.0</v>
      </c>
      <c r="C766" s="4" t="s">
        <v>66</v>
      </c>
      <c r="D766" s="4" t="s">
        <v>42</v>
      </c>
      <c r="E766" s="4" t="s">
        <v>25</v>
      </c>
      <c r="F766" s="4" t="s">
        <v>274</v>
      </c>
      <c r="G766" s="4">
        <v>4.0</v>
      </c>
      <c r="H766" s="6">
        <v>2991.79</v>
      </c>
      <c r="I766" s="6">
        <v>11967.16</v>
      </c>
      <c r="J766" s="6">
        <v>9408.38</v>
      </c>
      <c r="K766" s="6">
        <v>2558.78</v>
      </c>
      <c r="L766" s="4" t="str">
        <f t="shared" si="1"/>
        <v>Aug-2025</v>
      </c>
    </row>
    <row r="767" ht="15.75" customHeight="1">
      <c r="A767" s="4" t="s">
        <v>1078</v>
      </c>
      <c r="B767" s="5">
        <v>45894.0</v>
      </c>
      <c r="C767" s="4" t="s">
        <v>23</v>
      </c>
      <c r="D767" s="4" t="s">
        <v>24</v>
      </c>
      <c r="E767" s="4" t="s">
        <v>25</v>
      </c>
      <c r="F767" s="4" t="s">
        <v>241</v>
      </c>
      <c r="G767" s="4">
        <v>7.0</v>
      </c>
      <c r="H767" s="6">
        <v>4317.38</v>
      </c>
      <c r="I767" s="6">
        <v>30221.66</v>
      </c>
      <c r="J767" s="6">
        <v>25610.87</v>
      </c>
      <c r="K767" s="6">
        <v>4610.79</v>
      </c>
      <c r="L767" s="4" t="str">
        <f t="shared" si="1"/>
        <v>Aug-2025</v>
      </c>
    </row>
    <row r="768" ht="15.75" customHeight="1">
      <c r="A768" s="4" t="s">
        <v>1079</v>
      </c>
      <c r="B768" s="5">
        <v>45894.0</v>
      </c>
      <c r="C768" s="4" t="s">
        <v>140</v>
      </c>
      <c r="D768" s="4" t="s">
        <v>14</v>
      </c>
      <c r="E768" s="4" t="s">
        <v>25</v>
      </c>
      <c r="F768" s="4" t="s">
        <v>661</v>
      </c>
      <c r="G768" s="4">
        <v>7.0</v>
      </c>
      <c r="H768" s="6">
        <v>232.3</v>
      </c>
      <c r="I768" s="6">
        <v>1626.1</v>
      </c>
      <c r="J768" s="6">
        <v>1367.76</v>
      </c>
      <c r="K768" s="6">
        <v>258.34</v>
      </c>
      <c r="L768" s="4" t="str">
        <f t="shared" si="1"/>
        <v>Aug-2025</v>
      </c>
    </row>
    <row r="769" ht="15.75" customHeight="1">
      <c r="A769" s="4" t="s">
        <v>1080</v>
      </c>
      <c r="B769" s="5">
        <v>45894.0</v>
      </c>
      <c r="C769" s="4" t="s">
        <v>35</v>
      </c>
      <c r="D769" s="4" t="s">
        <v>14</v>
      </c>
      <c r="E769" s="4" t="s">
        <v>15</v>
      </c>
      <c r="F769" s="4" t="s">
        <v>510</v>
      </c>
      <c r="G769" s="4">
        <v>7.0</v>
      </c>
      <c r="H769" s="6">
        <v>1148.06</v>
      </c>
      <c r="I769" s="6">
        <v>8036.42</v>
      </c>
      <c r="J769" s="6">
        <v>6293.9</v>
      </c>
      <c r="K769" s="6">
        <v>1742.52</v>
      </c>
      <c r="L769" s="4" t="str">
        <f t="shared" si="1"/>
        <v>Aug-2025</v>
      </c>
    </row>
    <row r="770" ht="15.75" customHeight="1">
      <c r="A770" s="4" t="s">
        <v>1081</v>
      </c>
      <c r="B770" s="5">
        <v>45894.0</v>
      </c>
      <c r="C770" s="4" t="s">
        <v>66</v>
      </c>
      <c r="D770" s="4" t="s">
        <v>42</v>
      </c>
      <c r="E770" s="4" t="s">
        <v>25</v>
      </c>
      <c r="F770" s="4" t="s">
        <v>293</v>
      </c>
      <c r="G770" s="4">
        <v>4.0</v>
      </c>
      <c r="H770" s="6">
        <v>393.37</v>
      </c>
      <c r="I770" s="6">
        <v>1573.48</v>
      </c>
      <c r="J770" s="6">
        <v>1195.23</v>
      </c>
      <c r="K770" s="6">
        <v>378.25</v>
      </c>
      <c r="L770" s="4" t="str">
        <f t="shared" si="1"/>
        <v>Aug-2025</v>
      </c>
    </row>
    <row r="771" ht="15.75" customHeight="1">
      <c r="A771" s="4" t="s">
        <v>1082</v>
      </c>
      <c r="B771" s="5">
        <v>45894.0</v>
      </c>
      <c r="C771" s="4" t="s">
        <v>18</v>
      </c>
      <c r="D771" s="4" t="s">
        <v>19</v>
      </c>
      <c r="E771" s="4" t="s">
        <v>29</v>
      </c>
      <c r="F771" s="4" t="s">
        <v>628</v>
      </c>
      <c r="G771" s="4">
        <v>6.0</v>
      </c>
      <c r="H771" s="6">
        <v>51502.82</v>
      </c>
      <c r="I771" s="6">
        <v>309016.92</v>
      </c>
      <c r="J771" s="6">
        <v>277488.64</v>
      </c>
      <c r="K771" s="6">
        <v>31528.28</v>
      </c>
      <c r="L771" s="4" t="str">
        <f t="shared" si="1"/>
        <v>Aug-2025</v>
      </c>
    </row>
    <row r="772" ht="15.75" customHeight="1">
      <c r="A772" s="4" t="s">
        <v>1083</v>
      </c>
      <c r="B772" s="5">
        <v>45895.0</v>
      </c>
      <c r="C772" s="4" t="s">
        <v>23</v>
      </c>
      <c r="D772" s="4" t="s">
        <v>24</v>
      </c>
      <c r="E772" s="4" t="s">
        <v>20</v>
      </c>
      <c r="F772" s="4" t="s">
        <v>626</v>
      </c>
      <c r="G772" s="4">
        <v>4.0</v>
      </c>
      <c r="H772" s="6">
        <v>2765.29</v>
      </c>
      <c r="I772" s="6">
        <v>11061.16</v>
      </c>
      <c r="J772" s="6">
        <v>8290.13</v>
      </c>
      <c r="K772" s="6">
        <v>2771.03</v>
      </c>
      <c r="L772" s="4" t="str">
        <f t="shared" si="1"/>
        <v>Aug-2025</v>
      </c>
    </row>
    <row r="773" ht="15.75" customHeight="1">
      <c r="A773" s="4" t="s">
        <v>1084</v>
      </c>
      <c r="B773" s="5">
        <v>45896.0</v>
      </c>
      <c r="C773" s="4" t="s">
        <v>61</v>
      </c>
      <c r="D773" s="4" t="s">
        <v>19</v>
      </c>
      <c r="E773" s="4" t="s">
        <v>25</v>
      </c>
      <c r="F773" s="4" t="s">
        <v>207</v>
      </c>
      <c r="G773" s="4">
        <v>7.0</v>
      </c>
      <c r="H773" s="6">
        <v>67985.78</v>
      </c>
      <c r="I773" s="6">
        <v>475900.46</v>
      </c>
      <c r="J773" s="6">
        <v>392394.38</v>
      </c>
      <c r="K773" s="6">
        <v>83506.08</v>
      </c>
      <c r="L773" s="4" t="str">
        <f t="shared" si="1"/>
        <v>Aug-2025</v>
      </c>
    </row>
    <row r="774" ht="15.75" customHeight="1">
      <c r="A774" s="4" t="s">
        <v>1085</v>
      </c>
      <c r="B774" s="5">
        <v>45897.0</v>
      </c>
      <c r="C774" s="4" t="s">
        <v>28</v>
      </c>
      <c r="D774" s="4" t="s">
        <v>14</v>
      </c>
      <c r="E774" s="4" t="s">
        <v>20</v>
      </c>
      <c r="F774" s="4" t="s">
        <v>293</v>
      </c>
      <c r="G774" s="4">
        <v>7.0</v>
      </c>
      <c r="H774" s="6">
        <v>644.36</v>
      </c>
      <c r="I774" s="6">
        <v>4510.52</v>
      </c>
      <c r="J774" s="6">
        <v>3395.44</v>
      </c>
      <c r="K774" s="6">
        <v>1115.08</v>
      </c>
      <c r="L774" s="4" t="str">
        <f t="shared" si="1"/>
        <v>Aug-2025</v>
      </c>
    </row>
    <row r="775" ht="15.75" customHeight="1">
      <c r="A775" s="4" t="s">
        <v>1086</v>
      </c>
      <c r="B775" s="5">
        <v>45897.0</v>
      </c>
      <c r="C775" s="4" t="s">
        <v>32</v>
      </c>
      <c r="D775" s="4" t="s">
        <v>19</v>
      </c>
      <c r="E775" s="4" t="s">
        <v>20</v>
      </c>
      <c r="F775" s="4" t="s">
        <v>57</v>
      </c>
      <c r="G775" s="4">
        <v>6.0</v>
      </c>
      <c r="H775" s="6">
        <v>52638.76</v>
      </c>
      <c r="I775" s="6">
        <v>315832.56</v>
      </c>
      <c r="J775" s="6">
        <v>263886.85</v>
      </c>
      <c r="K775" s="6">
        <v>51945.71</v>
      </c>
      <c r="L775" s="4" t="str">
        <f t="shared" si="1"/>
        <v>Aug-2025</v>
      </c>
    </row>
    <row r="776" ht="15.75" customHeight="1">
      <c r="A776" s="4" t="s">
        <v>1087</v>
      </c>
      <c r="B776" s="5">
        <v>45897.0</v>
      </c>
      <c r="C776" s="4" t="s">
        <v>38</v>
      </c>
      <c r="D776" s="4" t="s">
        <v>19</v>
      </c>
      <c r="E776" s="4" t="s">
        <v>20</v>
      </c>
      <c r="F776" s="4" t="s">
        <v>481</v>
      </c>
      <c r="G776" s="4">
        <v>4.0</v>
      </c>
      <c r="H776" s="6">
        <v>35982.99</v>
      </c>
      <c r="I776" s="6">
        <v>143931.96</v>
      </c>
      <c r="J776" s="6">
        <v>131265.48</v>
      </c>
      <c r="K776" s="6">
        <v>12666.48</v>
      </c>
      <c r="L776" s="4" t="str">
        <f t="shared" si="1"/>
        <v>Aug-2025</v>
      </c>
    </row>
    <row r="777" ht="15.75" customHeight="1">
      <c r="A777" s="4" t="s">
        <v>1088</v>
      </c>
      <c r="B777" s="5">
        <v>45897.0</v>
      </c>
      <c r="C777" s="4" t="s">
        <v>109</v>
      </c>
      <c r="D777" s="4" t="s">
        <v>42</v>
      </c>
      <c r="E777" s="4" t="s">
        <v>29</v>
      </c>
      <c r="F777" s="4" t="s">
        <v>422</v>
      </c>
      <c r="G777" s="4">
        <v>3.0</v>
      </c>
      <c r="H777" s="6">
        <v>4771.84</v>
      </c>
      <c r="I777" s="6">
        <v>14315.52</v>
      </c>
      <c r="J777" s="6">
        <v>11429.9</v>
      </c>
      <c r="K777" s="6">
        <v>2885.62</v>
      </c>
      <c r="L777" s="4" t="str">
        <f t="shared" si="1"/>
        <v>Aug-2025</v>
      </c>
    </row>
    <row r="778" ht="15.75" customHeight="1">
      <c r="A778" s="4" t="s">
        <v>1089</v>
      </c>
      <c r="B778" s="5">
        <v>45897.0</v>
      </c>
      <c r="C778" s="4" t="s">
        <v>180</v>
      </c>
      <c r="D778" s="4" t="s">
        <v>19</v>
      </c>
      <c r="E778" s="4" t="s">
        <v>25</v>
      </c>
      <c r="F778" s="4" t="s">
        <v>444</v>
      </c>
      <c r="G778" s="4">
        <v>2.0</v>
      </c>
      <c r="H778" s="6">
        <v>71665.49</v>
      </c>
      <c r="I778" s="6">
        <v>143330.98</v>
      </c>
      <c r="J778" s="6">
        <v>117740.12</v>
      </c>
      <c r="K778" s="6">
        <v>25590.86</v>
      </c>
      <c r="L778" s="4" t="str">
        <f t="shared" si="1"/>
        <v>Aug-2025</v>
      </c>
    </row>
    <row r="779" ht="15.75" customHeight="1">
      <c r="A779" s="4" t="s">
        <v>1090</v>
      </c>
      <c r="B779" s="5">
        <v>45898.0</v>
      </c>
      <c r="C779" s="4" t="s">
        <v>28</v>
      </c>
      <c r="D779" s="4" t="s">
        <v>14</v>
      </c>
      <c r="E779" s="4" t="s">
        <v>20</v>
      </c>
      <c r="F779" s="4" t="s">
        <v>673</v>
      </c>
      <c r="G779" s="4">
        <v>3.0</v>
      </c>
      <c r="H779" s="6">
        <v>1435.68</v>
      </c>
      <c r="I779" s="6">
        <v>4307.04</v>
      </c>
      <c r="J779" s="6">
        <v>3104.07</v>
      </c>
      <c r="K779" s="6">
        <v>1202.97</v>
      </c>
      <c r="L779" s="4" t="str">
        <f t="shared" si="1"/>
        <v>Aug-2025</v>
      </c>
    </row>
    <row r="780" ht="15.75" customHeight="1">
      <c r="A780" s="4" t="s">
        <v>1091</v>
      </c>
      <c r="B780" s="5">
        <v>45898.0</v>
      </c>
      <c r="C780" s="4" t="s">
        <v>102</v>
      </c>
      <c r="D780" s="4" t="s">
        <v>24</v>
      </c>
      <c r="E780" s="4" t="s">
        <v>20</v>
      </c>
      <c r="F780" s="4" t="s">
        <v>223</v>
      </c>
      <c r="G780" s="4">
        <v>2.0</v>
      </c>
      <c r="H780" s="6">
        <v>9613.79</v>
      </c>
      <c r="I780" s="6">
        <v>19227.58</v>
      </c>
      <c r="J780" s="6">
        <v>13855.13</v>
      </c>
      <c r="K780" s="6">
        <v>5372.45</v>
      </c>
      <c r="L780" s="4" t="str">
        <f t="shared" si="1"/>
        <v>Aug-2025</v>
      </c>
    </row>
    <row r="781" ht="15.75" customHeight="1">
      <c r="A781" s="4" t="s">
        <v>1092</v>
      </c>
      <c r="B781" s="5">
        <v>45898.0</v>
      </c>
      <c r="C781" s="4" t="s">
        <v>38</v>
      </c>
      <c r="D781" s="4" t="s">
        <v>19</v>
      </c>
      <c r="E781" s="4" t="s">
        <v>20</v>
      </c>
      <c r="F781" s="4" t="s">
        <v>291</v>
      </c>
      <c r="G781" s="4">
        <v>3.0</v>
      </c>
      <c r="H781" s="6">
        <v>12637.86</v>
      </c>
      <c r="I781" s="6">
        <v>37913.58</v>
      </c>
      <c r="J781" s="6">
        <v>30851.53</v>
      </c>
      <c r="K781" s="6">
        <v>7062.05</v>
      </c>
      <c r="L781" s="4" t="str">
        <f t="shared" si="1"/>
        <v>Aug-2025</v>
      </c>
    </row>
    <row r="782" ht="15.75" customHeight="1">
      <c r="A782" s="4" t="s">
        <v>1093</v>
      </c>
      <c r="B782" s="5">
        <v>45899.0</v>
      </c>
      <c r="C782" s="4" t="s">
        <v>13</v>
      </c>
      <c r="D782" s="4" t="s">
        <v>14</v>
      </c>
      <c r="E782" s="4" t="s">
        <v>20</v>
      </c>
      <c r="F782" s="4" t="s">
        <v>30</v>
      </c>
      <c r="G782" s="4">
        <v>5.0</v>
      </c>
      <c r="H782" s="6">
        <v>77.69</v>
      </c>
      <c r="I782" s="6">
        <v>388.45</v>
      </c>
      <c r="J782" s="6">
        <v>320.39</v>
      </c>
      <c r="K782" s="6">
        <v>68.06</v>
      </c>
      <c r="L782" s="4" t="str">
        <f t="shared" si="1"/>
        <v>Aug-2025</v>
      </c>
    </row>
    <row r="783" ht="15.75" customHeight="1">
      <c r="A783" s="4" t="s">
        <v>1094</v>
      </c>
      <c r="B783" s="5">
        <v>45899.0</v>
      </c>
      <c r="C783" s="4" t="s">
        <v>13</v>
      </c>
      <c r="D783" s="4" t="s">
        <v>14</v>
      </c>
      <c r="E783" s="4" t="s">
        <v>15</v>
      </c>
      <c r="F783" s="4" t="s">
        <v>256</v>
      </c>
      <c r="G783" s="4">
        <v>5.0</v>
      </c>
      <c r="H783" s="6">
        <v>669.88</v>
      </c>
      <c r="I783" s="6">
        <v>3349.4</v>
      </c>
      <c r="J783" s="6">
        <v>2371.01</v>
      </c>
      <c r="K783" s="6">
        <v>978.39</v>
      </c>
      <c r="L783" s="4" t="str">
        <f t="shared" si="1"/>
        <v>Aug-2025</v>
      </c>
    </row>
    <row r="784" ht="15.75" customHeight="1">
      <c r="A784" s="4" t="s">
        <v>1095</v>
      </c>
      <c r="B784" s="5">
        <v>45899.0</v>
      </c>
      <c r="C784" s="4" t="s">
        <v>23</v>
      </c>
      <c r="D784" s="4" t="s">
        <v>24</v>
      </c>
      <c r="E784" s="4" t="s">
        <v>15</v>
      </c>
      <c r="F784" s="4" t="s">
        <v>741</v>
      </c>
      <c r="G784" s="4">
        <v>1.0</v>
      </c>
      <c r="H784" s="6">
        <v>12044.0</v>
      </c>
      <c r="I784" s="6">
        <v>12044.0</v>
      </c>
      <c r="J784" s="6">
        <v>9285.22</v>
      </c>
      <c r="K784" s="6">
        <v>2758.78</v>
      </c>
      <c r="L784" s="4" t="str">
        <f t="shared" si="1"/>
        <v>Aug-2025</v>
      </c>
    </row>
    <row r="785" ht="15.75" customHeight="1">
      <c r="A785" s="4" t="s">
        <v>1096</v>
      </c>
      <c r="B785" s="5">
        <v>45899.0</v>
      </c>
      <c r="C785" s="4" t="s">
        <v>18</v>
      </c>
      <c r="D785" s="4" t="s">
        <v>19</v>
      </c>
      <c r="E785" s="4" t="s">
        <v>20</v>
      </c>
      <c r="F785" s="4" t="s">
        <v>315</v>
      </c>
      <c r="G785" s="4">
        <v>4.0</v>
      </c>
      <c r="H785" s="6">
        <v>58762.85</v>
      </c>
      <c r="I785" s="6">
        <v>235051.4</v>
      </c>
      <c r="J785" s="6">
        <v>192973.47</v>
      </c>
      <c r="K785" s="6">
        <v>42077.93</v>
      </c>
      <c r="L785" s="4" t="str">
        <f t="shared" si="1"/>
        <v>Aug-2025</v>
      </c>
    </row>
    <row r="786" ht="15.75" customHeight="1">
      <c r="A786" s="4" t="s">
        <v>1097</v>
      </c>
      <c r="B786" s="5">
        <v>45899.0</v>
      </c>
      <c r="C786" s="4" t="s">
        <v>180</v>
      </c>
      <c r="D786" s="4" t="s">
        <v>19</v>
      </c>
      <c r="E786" s="4" t="s">
        <v>29</v>
      </c>
      <c r="F786" s="4" t="s">
        <v>288</v>
      </c>
      <c r="G786" s="4">
        <v>3.0</v>
      </c>
      <c r="H786" s="6">
        <v>2089.58</v>
      </c>
      <c r="I786" s="6">
        <v>6268.74</v>
      </c>
      <c r="J786" s="6">
        <v>5524.17</v>
      </c>
      <c r="K786" s="6">
        <v>744.57</v>
      </c>
      <c r="L786" s="4" t="str">
        <f t="shared" si="1"/>
        <v>Aug-2025</v>
      </c>
    </row>
    <row r="787" ht="15.75" customHeight="1">
      <c r="A787" s="4" t="s">
        <v>1098</v>
      </c>
      <c r="B787" s="5">
        <v>45900.0</v>
      </c>
      <c r="C787" s="4" t="s">
        <v>41</v>
      </c>
      <c r="D787" s="4" t="s">
        <v>42</v>
      </c>
      <c r="E787" s="4" t="s">
        <v>25</v>
      </c>
      <c r="F787" s="4" t="s">
        <v>59</v>
      </c>
      <c r="G787" s="4">
        <v>7.0</v>
      </c>
      <c r="H787" s="6">
        <v>3480.46</v>
      </c>
      <c r="I787" s="6">
        <v>24363.22</v>
      </c>
      <c r="J787" s="6">
        <v>20289.79</v>
      </c>
      <c r="K787" s="6">
        <v>4073.43</v>
      </c>
      <c r="L787" s="4" t="str">
        <f t="shared" si="1"/>
        <v>Aug-2025</v>
      </c>
    </row>
    <row r="788" ht="15.75" customHeight="1">
      <c r="A788" s="4" t="s">
        <v>1099</v>
      </c>
      <c r="B788" s="5">
        <v>45900.0</v>
      </c>
      <c r="C788" s="4" t="s">
        <v>28</v>
      </c>
      <c r="D788" s="4" t="s">
        <v>14</v>
      </c>
      <c r="E788" s="4" t="s">
        <v>25</v>
      </c>
      <c r="F788" s="4" t="s">
        <v>207</v>
      </c>
      <c r="G788" s="4">
        <v>6.0</v>
      </c>
      <c r="H788" s="6">
        <v>184.13</v>
      </c>
      <c r="I788" s="6">
        <v>1104.78</v>
      </c>
      <c r="J788" s="6">
        <v>794.92</v>
      </c>
      <c r="K788" s="6">
        <v>309.86</v>
      </c>
      <c r="L788" s="4" t="str">
        <f t="shared" si="1"/>
        <v>Aug-2025</v>
      </c>
    </row>
    <row r="789" ht="15.75" customHeight="1">
      <c r="A789" s="4" t="s">
        <v>1100</v>
      </c>
      <c r="B789" s="5">
        <v>45900.0</v>
      </c>
      <c r="C789" s="4" t="s">
        <v>180</v>
      </c>
      <c r="D789" s="4" t="s">
        <v>19</v>
      </c>
      <c r="E789" s="4" t="s">
        <v>20</v>
      </c>
      <c r="F789" s="4" t="s">
        <v>356</v>
      </c>
      <c r="G789" s="4">
        <v>7.0</v>
      </c>
      <c r="H789" s="6">
        <v>35687.55</v>
      </c>
      <c r="I789" s="6">
        <v>249812.85</v>
      </c>
      <c r="J789" s="6">
        <v>207516.17</v>
      </c>
      <c r="K789" s="6">
        <v>42296.68</v>
      </c>
      <c r="L789" s="4" t="str">
        <f t="shared" si="1"/>
        <v>Aug-2025</v>
      </c>
    </row>
    <row r="790" ht="15.75" customHeight="1">
      <c r="A790" s="4" t="s">
        <v>1101</v>
      </c>
      <c r="B790" s="5">
        <v>45901.0</v>
      </c>
      <c r="C790" s="4" t="s">
        <v>13</v>
      </c>
      <c r="D790" s="4" t="s">
        <v>14</v>
      </c>
      <c r="E790" s="4" t="s">
        <v>15</v>
      </c>
      <c r="F790" s="4" t="s">
        <v>399</v>
      </c>
      <c r="G790" s="4">
        <v>4.0</v>
      </c>
      <c r="H790" s="6">
        <v>572.54</v>
      </c>
      <c r="I790" s="6">
        <v>2290.16</v>
      </c>
      <c r="J790" s="6">
        <v>1610.46</v>
      </c>
      <c r="K790" s="6">
        <v>679.7</v>
      </c>
      <c r="L790" s="4" t="str">
        <f t="shared" si="1"/>
        <v>Sep-2025</v>
      </c>
    </row>
    <row r="791" ht="15.75" customHeight="1">
      <c r="A791" s="4" t="s">
        <v>1102</v>
      </c>
      <c r="B791" s="5">
        <v>45902.0</v>
      </c>
      <c r="C791" s="4" t="s">
        <v>23</v>
      </c>
      <c r="D791" s="4" t="s">
        <v>24</v>
      </c>
      <c r="E791" s="4" t="s">
        <v>29</v>
      </c>
      <c r="F791" s="4" t="s">
        <v>1103</v>
      </c>
      <c r="G791" s="4">
        <v>5.0</v>
      </c>
      <c r="H791" s="6">
        <v>14890.38</v>
      </c>
      <c r="I791" s="6">
        <v>74451.9</v>
      </c>
      <c r="J791" s="6">
        <v>60526.78</v>
      </c>
      <c r="K791" s="6">
        <v>13925.12</v>
      </c>
      <c r="L791" s="4" t="str">
        <f t="shared" si="1"/>
        <v>Sep-2025</v>
      </c>
    </row>
    <row r="792" ht="15.75" customHeight="1">
      <c r="A792" s="4" t="s">
        <v>1104</v>
      </c>
      <c r="B792" s="5">
        <v>45902.0</v>
      </c>
      <c r="C792" s="4" t="s">
        <v>102</v>
      </c>
      <c r="D792" s="4" t="s">
        <v>24</v>
      </c>
      <c r="E792" s="4" t="s">
        <v>25</v>
      </c>
      <c r="F792" s="4" t="s">
        <v>297</v>
      </c>
      <c r="G792" s="4">
        <v>4.0</v>
      </c>
      <c r="H792" s="6">
        <v>7018.72</v>
      </c>
      <c r="I792" s="6">
        <v>28074.88</v>
      </c>
      <c r="J792" s="6">
        <v>21581.09</v>
      </c>
      <c r="K792" s="6">
        <v>6493.79</v>
      </c>
      <c r="L792" s="4" t="str">
        <f t="shared" si="1"/>
        <v>Sep-2025</v>
      </c>
    </row>
    <row r="793" ht="15.75" customHeight="1">
      <c r="A793" s="4" t="s">
        <v>1105</v>
      </c>
      <c r="B793" s="5">
        <v>45902.0</v>
      </c>
      <c r="C793" s="4" t="s">
        <v>61</v>
      </c>
      <c r="D793" s="4" t="s">
        <v>19</v>
      </c>
      <c r="E793" s="4" t="s">
        <v>29</v>
      </c>
      <c r="F793" s="4" t="s">
        <v>1106</v>
      </c>
      <c r="G793" s="4">
        <v>4.0</v>
      </c>
      <c r="H793" s="6">
        <v>1819.92</v>
      </c>
      <c r="I793" s="6">
        <v>7279.68</v>
      </c>
      <c r="J793" s="6">
        <v>6480.33</v>
      </c>
      <c r="K793" s="6">
        <v>799.35</v>
      </c>
      <c r="L793" s="4" t="str">
        <f t="shared" si="1"/>
        <v>Sep-2025</v>
      </c>
    </row>
    <row r="794" ht="15.75" customHeight="1">
      <c r="A794" s="4" t="s">
        <v>1107</v>
      </c>
      <c r="B794" s="5">
        <v>45902.0</v>
      </c>
      <c r="C794" s="4" t="s">
        <v>47</v>
      </c>
      <c r="D794" s="4" t="s">
        <v>14</v>
      </c>
      <c r="E794" s="4" t="s">
        <v>25</v>
      </c>
      <c r="F794" s="4" t="s">
        <v>448</v>
      </c>
      <c r="G794" s="4">
        <v>1.0</v>
      </c>
      <c r="H794" s="6">
        <v>237.3</v>
      </c>
      <c r="I794" s="6">
        <v>237.3</v>
      </c>
      <c r="J794" s="6">
        <v>180.58</v>
      </c>
      <c r="K794" s="6">
        <v>56.72</v>
      </c>
      <c r="L794" s="4" t="str">
        <f t="shared" si="1"/>
        <v>Sep-2025</v>
      </c>
    </row>
    <row r="795" ht="15.75" customHeight="1">
      <c r="A795" s="4" t="s">
        <v>1108</v>
      </c>
      <c r="B795" s="5">
        <v>45903.0</v>
      </c>
      <c r="C795" s="4" t="s">
        <v>66</v>
      </c>
      <c r="D795" s="4" t="s">
        <v>42</v>
      </c>
      <c r="E795" s="4" t="s">
        <v>25</v>
      </c>
      <c r="F795" s="4" t="s">
        <v>638</v>
      </c>
      <c r="G795" s="4">
        <v>3.0</v>
      </c>
      <c r="H795" s="6">
        <v>3190.24</v>
      </c>
      <c r="I795" s="6">
        <v>9570.72</v>
      </c>
      <c r="J795" s="6">
        <v>7586.0</v>
      </c>
      <c r="K795" s="6">
        <v>1984.72</v>
      </c>
      <c r="L795" s="4" t="str">
        <f t="shared" si="1"/>
        <v>Sep-2025</v>
      </c>
    </row>
    <row r="796" ht="15.75" customHeight="1">
      <c r="A796" s="4" t="s">
        <v>1109</v>
      </c>
      <c r="B796" s="5">
        <v>45903.0</v>
      </c>
      <c r="C796" s="4" t="s">
        <v>35</v>
      </c>
      <c r="D796" s="4" t="s">
        <v>14</v>
      </c>
      <c r="E796" s="4" t="s">
        <v>25</v>
      </c>
      <c r="F796" s="4" t="s">
        <v>288</v>
      </c>
      <c r="G796" s="4">
        <v>1.0</v>
      </c>
      <c r="H796" s="6">
        <v>1070.92</v>
      </c>
      <c r="I796" s="6">
        <v>1070.92</v>
      </c>
      <c r="J796" s="6">
        <v>781.36</v>
      </c>
      <c r="K796" s="6">
        <v>289.56</v>
      </c>
      <c r="L796" s="4" t="str">
        <f t="shared" si="1"/>
        <v>Sep-2025</v>
      </c>
    </row>
    <row r="797" ht="15.75" customHeight="1">
      <c r="A797" s="4" t="s">
        <v>1110</v>
      </c>
      <c r="B797" s="5">
        <v>45903.0</v>
      </c>
      <c r="C797" s="4" t="s">
        <v>18</v>
      </c>
      <c r="D797" s="4" t="s">
        <v>19</v>
      </c>
      <c r="E797" s="4" t="s">
        <v>20</v>
      </c>
      <c r="F797" s="4" t="s">
        <v>73</v>
      </c>
      <c r="G797" s="4">
        <v>3.0</v>
      </c>
      <c r="H797" s="6">
        <v>59193.07</v>
      </c>
      <c r="I797" s="6">
        <v>177579.21</v>
      </c>
      <c r="J797" s="6">
        <v>160893.55</v>
      </c>
      <c r="K797" s="6">
        <v>16685.66</v>
      </c>
      <c r="L797" s="4" t="str">
        <f t="shared" si="1"/>
        <v>Sep-2025</v>
      </c>
    </row>
    <row r="798" ht="15.75" customHeight="1">
      <c r="A798" s="4" t="s">
        <v>1111</v>
      </c>
      <c r="B798" s="5">
        <v>45904.0</v>
      </c>
      <c r="C798" s="4" t="s">
        <v>23</v>
      </c>
      <c r="D798" s="4" t="s">
        <v>24</v>
      </c>
      <c r="E798" s="4" t="s">
        <v>15</v>
      </c>
      <c r="F798" s="4" t="s">
        <v>302</v>
      </c>
      <c r="G798" s="4">
        <v>5.0</v>
      </c>
      <c r="H798" s="6">
        <v>16810.91</v>
      </c>
      <c r="I798" s="6">
        <v>84054.55</v>
      </c>
      <c r="J798" s="6">
        <v>61151.15</v>
      </c>
      <c r="K798" s="6">
        <v>22903.4</v>
      </c>
      <c r="L798" s="4" t="str">
        <f t="shared" si="1"/>
        <v>Sep-2025</v>
      </c>
    </row>
    <row r="799" ht="15.75" customHeight="1">
      <c r="A799" s="4" t="s">
        <v>1112</v>
      </c>
      <c r="B799" s="5">
        <v>45904.0</v>
      </c>
      <c r="C799" s="4" t="s">
        <v>41</v>
      </c>
      <c r="D799" s="4" t="s">
        <v>42</v>
      </c>
      <c r="E799" s="4" t="s">
        <v>20</v>
      </c>
      <c r="F799" s="4" t="s">
        <v>856</v>
      </c>
      <c r="G799" s="4">
        <v>2.0</v>
      </c>
      <c r="H799" s="6">
        <v>4707.52</v>
      </c>
      <c r="I799" s="6">
        <v>9415.04</v>
      </c>
      <c r="J799" s="6">
        <v>7390.07</v>
      </c>
      <c r="K799" s="6">
        <v>2024.97</v>
      </c>
      <c r="L799" s="4" t="str">
        <f t="shared" si="1"/>
        <v>Sep-2025</v>
      </c>
    </row>
    <row r="800" ht="15.75" customHeight="1">
      <c r="A800" s="4" t="s">
        <v>1113</v>
      </c>
      <c r="B800" s="5">
        <v>45904.0</v>
      </c>
      <c r="C800" s="4" t="s">
        <v>66</v>
      </c>
      <c r="D800" s="4" t="s">
        <v>42</v>
      </c>
      <c r="E800" s="4" t="s">
        <v>25</v>
      </c>
      <c r="F800" s="4" t="s">
        <v>1114</v>
      </c>
      <c r="G800" s="4">
        <v>4.0</v>
      </c>
      <c r="H800" s="6">
        <v>3840.59</v>
      </c>
      <c r="I800" s="6">
        <v>15362.36</v>
      </c>
      <c r="J800" s="6">
        <v>12859.05</v>
      </c>
      <c r="K800" s="6">
        <v>2503.31</v>
      </c>
      <c r="L800" s="4" t="str">
        <f t="shared" si="1"/>
        <v>Sep-2025</v>
      </c>
    </row>
    <row r="801" ht="15.75" customHeight="1">
      <c r="A801" s="4" t="s">
        <v>1115</v>
      </c>
      <c r="B801" s="5">
        <v>45904.0</v>
      </c>
      <c r="C801" s="4" t="s">
        <v>72</v>
      </c>
      <c r="D801" s="4" t="s">
        <v>24</v>
      </c>
      <c r="E801" s="4" t="s">
        <v>25</v>
      </c>
      <c r="F801" s="4" t="s">
        <v>478</v>
      </c>
      <c r="G801" s="4">
        <v>2.0</v>
      </c>
      <c r="H801" s="6">
        <v>8950.37</v>
      </c>
      <c r="I801" s="6">
        <v>17900.74</v>
      </c>
      <c r="J801" s="6">
        <v>15044.24</v>
      </c>
      <c r="K801" s="6">
        <v>2856.5</v>
      </c>
      <c r="L801" s="4" t="str">
        <f t="shared" si="1"/>
        <v>Sep-2025</v>
      </c>
    </row>
    <row r="802" ht="15.75" customHeight="1">
      <c r="A802" s="4" t="s">
        <v>1116</v>
      </c>
      <c r="B802" s="5">
        <v>45904.0</v>
      </c>
      <c r="C802" s="4" t="s">
        <v>13</v>
      </c>
      <c r="D802" s="4" t="s">
        <v>14</v>
      </c>
      <c r="E802" s="4" t="s">
        <v>20</v>
      </c>
      <c r="F802" s="4" t="s">
        <v>205</v>
      </c>
      <c r="G802" s="4">
        <v>7.0</v>
      </c>
      <c r="H802" s="6">
        <v>645.08</v>
      </c>
      <c r="I802" s="6">
        <v>4515.56</v>
      </c>
      <c r="J802" s="6">
        <v>3532.81</v>
      </c>
      <c r="K802" s="6">
        <v>982.75</v>
      </c>
      <c r="L802" s="4" t="str">
        <f t="shared" si="1"/>
        <v>Sep-2025</v>
      </c>
    </row>
    <row r="803" ht="15.75" customHeight="1">
      <c r="A803" s="4" t="s">
        <v>1117</v>
      </c>
      <c r="B803" s="5">
        <v>45905.0</v>
      </c>
      <c r="C803" s="4" t="s">
        <v>18</v>
      </c>
      <c r="D803" s="4" t="s">
        <v>19</v>
      </c>
      <c r="E803" s="4" t="s">
        <v>15</v>
      </c>
      <c r="F803" s="4" t="s">
        <v>607</v>
      </c>
      <c r="G803" s="4">
        <v>3.0</v>
      </c>
      <c r="H803" s="6">
        <v>20948.79</v>
      </c>
      <c r="I803" s="6">
        <v>62846.37</v>
      </c>
      <c r="J803" s="6">
        <v>54783.58</v>
      </c>
      <c r="K803" s="6">
        <v>8062.79</v>
      </c>
      <c r="L803" s="4" t="str">
        <f t="shared" si="1"/>
        <v>Sep-2025</v>
      </c>
    </row>
    <row r="804" ht="15.75" customHeight="1">
      <c r="A804" s="4" t="s">
        <v>1118</v>
      </c>
      <c r="B804" s="5">
        <v>45906.0</v>
      </c>
      <c r="C804" s="4" t="s">
        <v>47</v>
      </c>
      <c r="D804" s="4" t="s">
        <v>14</v>
      </c>
      <c r="E804" s="4" t="s">
        <v>15</v>
      </c>
      <c r="F804" s="4" t="s">
        <v>365</v>
      </c>
      <c r="G804" s="4">
        <v>3.0</v>
      </c>
      <c r="H804" s="6">
        <v>292.83</v>
      </c>
      <c r="I804" s="6">
        <v>878.49</v>
      </c>
      <c r="J804" s="6">
        <v>726.93</v>
      </c>
      <c r="K804" s="6">
        <v>151.56</v>
      </c>
      <c r="L804" s="4" t="str">
        <f t="shared" si="1"/>
        <v>Sep-2025</v>
      </c>
    </row>
    <row r="805" ht="15.75" customHeight="1">
      <c r="A805" s="4" t="s">
        <v>1119</v>
      </c>
      <c r="B805" s="5">
        <v>45906.0</v>
      </c>
      <c r="C805" s="4" t="s">
        <v>102</v>
      </c>
      <c r="D805" s="4" t="s">
        <v>24</v>
      </c>
      <c r="E805" s="4" t="s">
        <v>20</v>
      </c>
      <c r="F805" s="4" t="s">
        <v>340</v>
      </c>
      <c r="G805" s="4">
        <v>1.0</v>
      </c>
      <c r="H805" s="6">
        <v>17312.61</v>
      </c>
      <c r="I805" s="6">
        <v>17312.61</v>
      </c>
      <c r="J805" s="6">
        <v>13015.28</v>
      </c>
      <c r="K805" s="6">
        <v>4297.33</v>
      </c>
      <c r="L805" s="4" t="str">
        <f t="shared" si="1"/>
        <v>Sep-2025</v>
      </c>
    </row>
    <row r="806" ht="15.75" customHeight="1">
      <c r="A806" s="4" t="s">
        <v>1120</v>
      </c>
      <c r="B806" s="5">
        <v>45906.0</v>
      </c>
      <c r="C806" s="4" t="s">
        <v>13</v>
      </c>
      <c r="D806" s="4" t="s">
        <v>14</v>
      </c>
      <c r="E806" s="4" t="s">
        <v>20</v>
      </c>
      <c r="F806" s="4" t="s">
        <v>713</v>
      </c>
      <c r="G806" s="4">
        <v>6.0</v>
      </c>
      <c r="H806" s="6">
        <v>129.22</v>
      </c>
      <c r="I806" s="6">
        <v>775.32</v>
      </c>
      <c r="J806" s="6">
        <v>618.93</v>
      </c>
      <c r="K806" s="6">
        <v>156.39</v>
      </c>
      <c r="L806" s="4" t="str">
        <f t="shared" si="1"/>
        <v>Sep-2025</v>
      </c>
    </row>
    <row r="807" ht="15.75" customHeight="1">
      <c r="A807" s="4" t="s">
        <v>1121</v>
      </c>
      <c r="B807" s="5">
        <v>45907.0</v>
      </c>
      <c r="C807" s="4" t="s">
        <v>180</v>
      </c>
      <c r="D807" s="4" t="s">
        <v>19</v>
      </c>
      <c r="E807" s="4" t="s">
        <v>15</v>
      </c>
      <c r="F807" s="4" t="s">
        <v>826</v>
      </c>
      <c r="G807" s="4">
        <v>4.0</v>
      </c>
      <c r="H807" s="6">
        <v>38671.14</v>
      </c>
      <c r="I807" s="6">
        <v>154684.56</v>
      </c>
      <c r="J807" s="6">
        <v>124314.92</v>
      </c>
      <c r="K807" s="6">
        <v>30369.64</v>
      </c>
      <c r="L807" s="4" t="str">
        <f t="shared" si="1"/>
        <v>Sep-2025</v>
      </c>
    </row>
    <row r="808" ht="15.75" customHeight="1">
      <c r="A808" s="4" t="s">
        <v>1122</v>
      </c>
      <c r="B808" s="5">
        <v>45908.0</v>
      </c>
      <c r="C808" s="4" t="s">
        <v>72</v>
      </c>
      <c r="D808" s="4" t="s">
        <v>24</v>
      </c>
      <c r="E808" s="4" t="s">
        <v>20</v>
      </c>
      <c r="F808" s="4" t="s">
        <v>110</v>
      </c>
      <c r="G808" s="4">
        <v>7.0</v>
      </c>
      <c r="H808" s="6">
        <v>7814.71</v>
      </c>
      <c r="I808" s="6">
        <v>54702.97</v>
      </c>
      <c r="J808" s="6">
        <v>43934.19</v>
      </c>
      <c r="K808" s="6">
        <v>10768.78</v>
      </c>
      <c r="L808" s="4" t="str">
        <f t="shared" si="1"/>
        <v>Sep-2025</v>
      </c>
    </row>
    <row r="809" ht="15.75" customHeight="1">
      <c r="A809" s="4" t="s">
        <v>1123</v>
      </c>
      <c r="B809" s="5">
        <v>45908.0</v>
      </c>
      <c r="C809" s="4" t="s">
        <v>66</v>
      </c>
      <c r="D809" s="4" t="s">
        <v>42</v>
      </c>
      <c r="E809" s="4" t="s">
        <v>20</v>
      </c>
      <c r="F809" s="4" t="s">
        <v>311</v>
      </c>
      <c r="G809" s="4">
        <v>1.0</v>
      </c>
      <c r="H809" s="6">
        <v>1539.61</v>
      </c>
      <c r="I809" s="6">
        <v>1539.61</v>
      </c>
      <c r="J809" s="6">
        <v>1269.11</v>
      </c>
      <c r="K809" s="6">
        <v>270.5</v>
      </c>
      <c r="L809" s="4" t="str">
        <f t="shared" si="1"/>
        <v>Sep-2025</v>
      </c>
    </row>
    <row r="810" ht="15.75" customHeight="1">
      <c r="A810" s="4" t="s">
        <v>1124</v>
      </c>
      <c r="B810" s="5">
        <v>45908.0</v>
      </c>
      <c r="C810" s="4" t="s">
        <v>13</v>
      </c>
      <c r="D810" s="4" t="s">
        <v>14</v>
      </c>
      <c r="E810" s="4" t="s">
        <v>25</v>
      </c>
      <c r="F810" s="4" t="s">
        <v>227</v>
      </c>
      <c r="G810" s="4">
        <v>7.0</v>
      </c>
      <c r="H810" s="6">
        <v>1334.15</v>
      </c>
      <c r="I810" s="6">
        <v>9339.05</v>
      </c>
      <c r="J810" s="6">
        <v>6538.59</v>
      </c>
      <c r="K810" s="6">
        <v>2800.46</v>
      </c>
      <c r="L810" s="4" t="str">
        <f t="shared" si="1"/>
        <v>Sep-2025</v>
      </c>
    </row>
    <row r="811" ht="15.75" customHeight="1">
      <c r="A811" s="4" t="s">
        <v>1125</v>
      </c>
      <c r="B811" s="5">
        <v>45908.0</v>
      </c>
      <c r="C811" s="4" t="s">
        <v>69</v>
      </c>
      <c r="D811" s="4" t="s">
        <v>19</v>
      </c>
      <c r="E811" s="4" t="s">
        <v>15</v>
      </c>
      <c r="F811" s="4" t="s">
        <v>707</v>
      </c>
      <c r="G811" s="4">
        <v>7.0</v>
      </c>
      <c r="H811" s="6">
        <v>24045.08</v>
      </c>
      <c r="I811" s="6">
        <v>168315.56</v>
      </c>
      <c r="J811" s="6">
        <v>144210.9</v>
      </c>
      <c r="K811" s="6">
        <v>24104.66</v>
      </c>
      <c r="L811" s="4" t="str">
        <f t="shared" si="1"/>
        <v>Sep-2025</v>
      </c>
    </row>
    <row r="812" ht="15.75" customHeight="1">
      <c r="A812" s="4" t="s">
        <v>1126</v>
      </c>
      <c r="B812" s="5">
        <v>45908.0</v>
      </c>
      <c r="C812" s="4" t="s">
        <v>47</v>
      </c>
      <c r="D812" s="4" t="s">
        <v>14</v>
      </c>
      <c r="E812" s="4" t="s">
        <v>20</v>
      </c>
      <c r="F812" s="4" t="s">
        <v>1127</v>
      </c>
      <c r="G812" s="4">
        <v>3.0</v>
      </c>
      <c r="H812" s="6">
        <v>210.93</v>
      </c>
      <c r="I812" s="6">
        <v>632.79</v>
      </c>
      <c r="J812" s="6">
        <v>444.87</v>
      </c>
      <c r="K812" s="6">
        <v>187.92</v>
      </c>
      <c r="L812" s="4" t="str">
        <f t="shared" si="1"/>
        <v>Sep-2025</v>
      </c>
    </row>
    <row r="813" ht="15.75" customHeight="1">
      <c r="A813" s="4" t="s">
        <v>1128</v>
      </c>
      <c r="B813" s="5">
        <v>45908.0</v>
      </c>
      <c r="C813" s="4" t="s">
        <v>75</v>
      </c>
      <c r="D813" s="4" t="s">
        <v>24</v>
      </c>
      <c r="E813" s="4" t="s">
        <v>25</v>
      </c>
      <c r="F813" s="4" t="s">
        <v>145</v>
      </c>
      <c r="G813" s="4">
        <v>2.0</v>
      </c>
      <c r="H813" s="6">
        <v>4761.25</v>
      </c>
      <c r="I813" s="6">
        <v>9522.5</v>
      </c>
      <c r="J813" s="6">
        <v>7865.84</v>
      </c>
      <c r="K813" s="6">
        <v>1656.66</v>
      </c>
      <c r="L813" s="4" t="str">
        <f t="shared" si="1"/>
        <v>Sep-2025</v>
      </c>
    </row>
    <row r="814" ht="15.75" customHeight="1">
      <c r="A814" s="4" t="s">
        <v>1129</v>
      </c>
      <c r="B814" s="5">
        <v>45909.0</v>
      </c>
      <c r="C814" s="4" t="s">
        <v>18</v>
      </c>
      <c r="D814" s="4" t="s">
        <v>19</v>
      </c>
      <c r="E814" s="4" t="s">
        <v>20</v>
      </c>
      <c r="F814" s="4" t="s">
        <v>80</v>
      </c>
      <c r="G814" s="4">
        <v>7.0</v>
      </c>
      <c r="H814" s="6">
        <v>54881.52</v>
      </c>
      <c r="I814" s="6">
        <v>384170.64</v>
      </c>
      <c r="J814" s="6">
        <v>349039.04</v>
      </c>
      <c r="K814" s="6">
        <v>35131.6</v>
      </c>
      <c r="L814" s="4" t="str">
        <f t="shared" si="1"/>
        <v>Sep-2025</v>
      </c>
    </row>
    <row r="815" ht="15.75" customHeight="1">
      <c r="A815" s="4" t="s">
        <v>1130</v>
      </c>
      <c r="B815" s="5">
        <v>45909.0</v>
      </c>
      <c r="C815" s="4" t="s">
        <v>72</v>
      </c>
      <c r="D815" s="4" t="s">
        <v>24</v>
      </c>
      <c r="E815" s="4" t="s">
        <v>20</v>
      </c>
      <c r="F815" s="4" t="s">
        <v>291</v>
      </c>
      <c r="G815" s="4">
        <v>2.0</v>
      </c>
      <c r="H815" s="6">
        <v>4678.33</v>
      </c>
      <c r="I815" s="6">
        <v>9356.66</v>
      </c>
      <c r="J815" s="6">
        <v>7255.03</v>
      </c>
      <c r="K815" s="6">
        <v>2101.63</v>
      </c>
      <c r="L815" s="4" t="str">
        <f t="shared" si="1"/>
        <v>Sep-2025</v>
      </c>
    </row>
    <row r="816" ht="15.75" customHeight="1">
      <c r="A816" s="4" t="s">
        <v>1131</v>
      </c>
      <c r="B816" s="5">
        <v>45910.0</v>
      </c>
      <c r="C816" s="4" t="s">
        <v>160</v>
      </c>
      <c r="D816" s="4" t="s">
        <v>42</v>
      </c>
      <c r="E816" s="4" t="s">
        <v>29</v>
      </c>
      <c r="F816" s="4" t="s">
        <v>59</v>
      </c>
      <c r="G816" s="4">
        <v>4.0</v>
      </c>
      <c r="H816" s="6">
        <v>3110.58</v>
      </c>
      <c r="I816" s="6">
        <v>12442.32</v>
      </c>
      <c r="J816" s="6">
        <v>10605.46</v>
      </c>
      <c r="K816" s="6">
        <v>1836.86</v>
      </c>
      <c r="L816" s="4" t="str">
        <f t="shared" si="1"/>
        <v>Sep-2025</v>
      </c>
    </row>
    <row r="817" ht="15.75" customHeight="1">
      <c r="A817" s="4" t="s">
        <v>1132</v>
      </c>
      <c r="B817" s="5">
        <v>45910.0</v>
      </c>
      <c r="C817" s="4" t="s">
        <v>32</v>
      </c>
      <c r="D817" s="4" t="s">
        <v>19</v>
      </c>
      <c r="E817" s="4" t="s">
        <v>25</v>
      </c>
      <c r="F817" s="4" t="s">
        <v>334</v>
      </c>
      <c r="G817" s="4">
        <v>1.0</v>
      </c>
      <c r="H817" s="6">
        <v>62029.32</v>
      </c>
      <c r="I817" s="6">
        <v>62029.32</v>
      </c>
      <c r="J817" s="6">
        <v>54797.6</v>
      </c>
      <c r="K817" s="6">
        <v>7231.72</v>
      </c>
      <c r="L817" s="4" t="str">
        <f t="shared" si="1"/>
        <v>Sep-2025</v>
      </c>
    </row>
    <row r="818" ht="15.75" customHeight="1">
      <c r="A818" s="4" t="s">
        <v>1133</v>
      </c>
      <c r="B818" s="5">
        <v>45911.0</v>
      </c>
      <c r="C818" s="4" t="s">
        <v>75</v>
      </c>
      <c r="D818" s="4" t="s">
        <v>24</v>
      </c>
      <c r="E818" s="4" t="s">
        <v>25</v>
      </c>
      <c r="F818" s="4" t="s">
        <v>274</v>
      </c>
      <c r="G818" s="4">
        <v>7.0</v>
      </c>
      <c r="H818" s="6">
        <v>1531.42</v>
      </c>
      <c r="I818" s="6">
        <v>10719.94</v>
      </c>
      <c r="J818" s="6">
        <v>7912.72</v>
      </c>
      <c r="K818" s="6">
        <v>2807.22</v>
      </c>
      <c r="L818" s="4" t="str">
        <f t="shared" si="1"/>
        <v>Sep-2025</v>
      </c>
    </row>
    <row r="819" ht="15.75" customHeight="1">
      <c r="A819" s="4" t="s">
        <v>1134</v>
      </c>
      <c r="B819" s="5">
        <v>45911.0</v>
      </c>
      <c r="C819" s="4" t="s">
        <v>155</v>
      </c>
      <c r="D819" s="4" t="s">
        <v>24</v>
      </c>
      <c r="E819" s="4" t="s">
        <v>20</v>
      </c>
      <c r="F819" s="4" t="s">
        <v>169</v>
      </c>
      <c r="G819" s="4">
        <v>4.0</v>
      </c>
      <c r="H819" s="6">
        <v>17311.77</v>
      </c>
      <c r="I819" s="6">
        <v>69247.08</v>
      </c>
      <c r="J819" s="6">
        <v>55146.05</v>
      </c>
      <c r="K819" s="6">
        <v>14101.03</v>
      </c>
      <c r="L819" s="4" t="str">
        <f t="shared" si="1"/>
        <v>Sep-2025</v>
      </c>
    </row>
    <row r="820" ht="15.75" customHeight="1">
      <c r="A820" s="4" t="s">
        <v>1135</v>
      </c>
      <c r="B820" s="5">
        <v>45912.0</v>
      </c>
      <c r="C820" s="4" t="s">
        <v>66</v>
      </c>
      <c r="D820" s="4" t="s">
        <v>42</v>
      </c>
      <c r="E820" s="4" t="s">
        <v>25</v>
      </c>
      <c r="F820" s="4" t="s">
        <v>175</v>
      </c>
      <c r="G820" s="4">
        <v>7.0</v>
      </c>
      <c r="H820" s="6">
        <v>4244.26</v>
      </c>
      <c r="I820" s="6">
        <v>29709.82</v>
      </c>
      <c r="J820" s="6">
        <v>25852.31</v>
      </c>
      <c r="K820" s="6">
        <v>3857.51</v>
      </c>
      <c r="L820" s="4" t="str">
        <f t="shared" si="1"/>
        <v>Sep-2025</v>
      </c>
    </row>
    <row r="821" ht="15.75" customHeight="1">
      <c r="A821" s="4" t="s">
        <v>1136</v>
      </c>
      <c r="B821" s="5">
        <v>45912.0</v>
      </c>
      <c r="C821" s="4" t="s">
        <v>69</v>
      </c>
      <c r="D821" s="4" t="s">
        <v>19</v>
      </c>
      <c r="E821" s="4" t="s">
        <v>20</v>
      </c>
      <c r="F821" s="4" t="s">
        <v>386</v>
      </c>
      <c r="G821" s="4">
        <v>4.0</v>
      </c>
      <c r="H821" s="6">
        <v>34743.65</v>
      </c>
      <c r="I821" s="6">
        <v>138974.6</v>
      </c>
      <c r="J821" s="6">
        <v>119223.33</v>
      </c>
      <c r="K821" s="6">
        <v>19751.27</v>
      </c>
      <c r="L821" s="4" t="str">
        <f t="shared" si="1"/>
        <v>Sep-2025</v>
      </c>
    </row>
    <row r="822" ht="15.75" customHeight="1">
      <c r="A822" s="4" t="s">
        <v>1137</v>
      </c>
      <c r="B822" s="5">
        <v>45912.0</v>
      </c>
      <c r="C822" s="4" t="s">
        <v>140</v>
      </c>
      <c r="D822" s="4" t="s">
        <v>14</v>
      </c>
      <c r="E822" s="4" t="s">
        <v>25</v>
      </c>
      <c r="F822" s="4" t="s">
        <v>365</v>
      </c>
      <c r="G822" s="4">
        <v>4.0</v>
      </c>
      <c r="H822" s="6">
        <v>1025.51</v>
      </c>
      <c r="I822" s="6">
        <v>4102.04</v>
      </c>
      <c r="J822" s="6">
        <v>2877.2</v>
      </c>
      <c r="K822" s="6">
        <v>1224.84</v>
      </c>
      <c r="L822" s="4" t="str">
        <f t="shared" si="1"/>
        <v>Sep-2025</v>
      </c>
    </row>
    <row r="823" ht="15.75" customHeight="1">
      <c r="A823" s="4" t="s">
        <v>1138</v>
      </c>
      <c r="B823" s="5">
        <v>45912.0</v>
      </c>
      <c r="C823" s="4" t="s">
        <v>47</v>
      </c>
      <c r="D823" s="4" t="s">
        <v>14</v>
      </c>
      <c r="E823" s="4" t="s">
        <v>29</v>
      </c>
      <c r="F823" s="4" t="s">
        <v>346</v>
      </c>
      <c r="G823" s="4">
        <v>7.0</v>
      </c>
      <c r="H823" s="6">
        <v>1255.78</v>
      </c>
      <c r="I823" s="6">
        <v>8790.46</v>
      </c>
      <c r="J823" s="6">
        <v>6158.51</v>
      </c>
      <c r="K823" s="6">
        <v>2631.95</v>
      </c>
      <c r="L823" s="4" t="str">
        <f t="shared" si="1"/>
        <v>Sep-2025</v>
      </c>
    </row>
    <row r="824" ht="15.75" customHeight="1">
      <c r="A824" s="4" t="s">
        <v>1139</v>
      </c>
      <c r="B824" s="5">
        <v>45913.0</v>
      </c>
      <c r="C824" s="4" t="s">
        <v>18</v>
      </c>
      <c r="D824" s="4" t="s">
        <v>19</v>
      </c>
      <c r="E824" s="4" t="s">
        <v>25</v>
      </c>
      <c r="F824" s="4" t="s">
        <v>541</v>
      </c>
      <c r="G824" s="4">
        <v>4.0</v>
      </c>
      <c r="H824" s="6">
        <v>29430.77</v>
      </c>
      <c r="I824" s="6">
        <v>117723.08</v>
      </c>
      <c r="J824" s="6">
        <v>94431.65</v>
      </c>
      <c r="K824" s="6">
        <v>23291.43</v>
      </c>
      <c r="L824" s="4" t="str">
        <f t="shared" si="1"/>
        <v>Sep-2025</v>
      </c>
    </row>
    <row r="825" ht="15.75" customHeight="1">
      <c r="A825" s="4" t="s">
        <v>1140</v>
      </c>
      <c r="B825" s="5">
        <v>45913.0</v>
      </c>
      <c r="C825" s="4" t="s">
        <v>140</v>
      </c>
      <c r="D825" s="4" t="s">
        <v>14</v>
      </c>
      <c r="E825" s="4" t="s">
        <v>29</v>
      </c>
      <c r="F825" s="4" t="s">
        <v>826</v>
      </c>
      <c r="G825" s="4">
        <v>3.0</v>
      </c>
      <c r="H825" s="6">
        <v>1207.1</v>
      </c>
      <c r="I825" s="6">
        <v>3621.3</v>
      </c>
      <c r="J825" s="6">
        <v>2839.72</v>
      </c>
      <c r="K825" s="6">
        <v>781.58</v>
      </c>
      <c r="L825" s="4" t="str">
        <f t="shared" si="1"/>
        <v>Sep-2025</v>
      </c>
    </row>
    <row r="826" ht="15.75" customHeight="1">
      <c r="A826" s="4" t="s">
        <v>1141</v>
      </c>
      <c r="B826" s="5">
        <v>45913.0</v>
      </c>
      <c r="C826" s="4" t="s">
        <v>109</v>
      </c>
      <c r="D826" s="4" t="s">
        <v>42</v>
      </c>
      <c r="E826" s="4" t="s">
        <v>15</v>
      </c>
      <c r="F826" s="4" t="s">
        <v>141</v>
      </c>
      <c r="G826" s="4">
        <v>4.0</v>
      </c>
      <c r="H826" s="6">
        <v>1198.93</v>
      </c>
      <c r="I826" s="6">
        <v>4795.72</v>
      </c>
      <c r="J826" s="6">
        <v>3942.64</v>
      </c>
      <c r="K826" s="6">
        <v>853.08</v>
      </c>
      <c r="L826" s="4" t="str">
        <f t="shared" si="1"/>
        <v>Sep-2025</v>
      </c>
    </row>
    <row r="827" ht="15.75" customHeight="1">
      <c r="A827" s="4" t="s">
        <v>1142</v>
      </c>
      <c r="B827" s="5">
        <v>45914.0</v>
      </c>
      <c r="C827" s="4" t="s">
        <v>32</v>
      </c>
      <c r="D827" s="4" t="s">
        <v>19</v>
      </c>
      <c r="E827" s="4" t="s">
        <v>29</v>
      </c>
      <c r="F827" s="4" t="s">
        <v>82</v>
      </c>
      <c r="G827" s="4">
        <v>1.0</v>
      </c>
      <c r="H827" s="6">
        <v>43117.19</v>
      </c>
      <c r="I827" s="6">
        <v>43117.19</v>
      </c>
      <c r="J827" s="6">
        <v>39390.61</v>
      </c>
      <c r="K827" s="6">
        <v>3726.58</v>
      </c>
      <c r="L827" s="4" t="str">
        <f t="shared" si="1"/>
        <v>Sep-2025</v>
      </c>
    </row>
    <row r="828" ht="15.75" customHeight="1">
      <c r="A828" s="4" t="s">
        <v>1143</v>
      </c>
      <c r="B828" s="5">
        <v>45914.0</v>
      </c>
      <c r="C828" s="4" t="s">
        <v>41</v>
      </c>
      <c r="D828" s="4" t="s">
        <v>42</v>
      </c>
      <c r="E828" s="4" t="s">
        <v>29</v>
      </c>
      <c r="F828" s="4" t="s">
        <v>70</v>
      </c>
      <c r="G828" s="4">
        <v>4.0</v>
      </c>
      <c r="H828" s="6">
        <v>2247.42</v>
      </c>
      <c r="I828" s="6">
        <v>8989.68</v>
      </c>
      <c r="J828" s="6">
        <v>7343.5</v>
      </c>
      <c r="K828" s="6">
        <v>1646.18</v>
      </c>
      <c r="L828" s="4" t="str">
        <f t="shared" si="1"/>
        <v>Sep-2025</v>
      </c>
    </row>
    <row r="829" ht="15.75" customHeight="1">
      <c r="A829" s="4" t="s">
        <v>1144</v>
      </c>
      <c r="B829" s="5">
        <v>45915.0</v>
      </c>
      <c r="C829" s="4" t="s">
        <v>38</v>
      </c>
      <c r="D829" s="4" t="s">
        <v>19</v>
      </c>
      <c r="E829" s="4" t="s">
        <v>25</v>
      </c>
      <c r="F829" s="4" t="s">
        <v>223</v>
      </c>
      <c r="G829" s="4">
        <v>6.0</v>
      </c>
      <c r="H829" s="6">
        <v>62692.11</v>
      </c>
      <c r="I829" s="6">
        <v>376152.66</v>
      </c>
      <c r="J829" s="6">
        <v>345692.74</v>
      </c>
      <c r="K829" s="6">
        <v>30459.92</v>
      </c>
      <c r="L829" s="4" t="str">
        <f t="shared" si="1"/>
        <v>Sep-2025</v>
      </c>
    </row>
    <row r="830" ht="15.75" customHeight="1">
      <c r="A830" s="4" t="s">
        <v>1145</v>
      </c>
      <c r="B830" s="5">
        <v>45915.0</v>
      </c>
      <c r="C830" s="4" t="s">
        <v>102</v>
      </c>
      <c r="D830" s="4" t="s">
        <v>24</v>
      </c>
      <c r="E830" s="4" t="s">
        <v>29</v>
      </c>
      <c r="F830" s="4" t="s">
        <v>205</v>
      </c>
      <c r="G830" s="4">
        <v>2.0</v>
      </c>
      <c r="H830" s="6">
        <v>3250.94</v>
      </c>
      <c r="I830" s="6">
        <v>6501.88</v>
      </c>
      <c r="J830" s="6">
        <v>4876.6</v>
      </c>
      <c r="K830" s="6">
        <v>1625.28</v>
      </c>
      <c r="L830" s="4" t="str">
        <f t="shared" si="1"/>
        <v>Sep-2025</v>
      </c>
    </row>
    <row r="831" ht="15.75" customHeight="1">
      <c r="A831" s="4" t="s">
        <v>1146</v>
      </c>
      <c r="B831" s="5">
        <v>45915.0</v>
      </c>
      <c r="C831" s="4" t="s">
        <v>92</v>
      </c>
      <c r="D831" s="4" t="s">
        <v>14</v>
      </c>
      <c r="E831" s="4" t="s">
        <v>25</v>
      </c>
      <c r="F831" s="4" t="s">
        <v>373</v>
      </c>
      <c r="G831" s="4">
        <v>4.0</v>
      </c>
      <c r="H831" s="6">
        <v>1135.61</v>
      </c>
      <c r="I831" s="6">
        <v>4542.44</v>
      </c>
      <c r="J831" s="6">
        <v>3122.96</v>
      </c>
      <c r="K831" s="6">
        <v>1419.48</v>
      </c>
      <c r="L831" s="4" t="str">
        <f t="shared" si="1"/>
        <v>Sep-2025</v>
      </c>
    </row>
    <row r="832" ht="15.75" customHeight="1">
      <c r="A832" s="4" t="s">
        <v>1147</v>
      </c>
      <c r="B832" s="5">
        <v>45916.0</v>
      </c>
      <c r="C832" s="4" t="s">
        <v>180</v>
      </c>
      <c r="D832" s="4" t="s">
        <v>19</v>
      </c>
      <c r="E832" s="4" t="s">
        <v>29</v>
      </c>
      <c r="F832" s="4" t="s">
        <v>21</v>
      </c>
      <c r="G832" s="4">
        <v>7.0</v>
      </c>
      <c r="H832" s="6">
        <v>72981.29</v>
      </c>
      <c r="I832" s="6">
        <v>510869.03</v>
      </c>
      <c r="J832" s="6">
        <v>409733.43</v>
      </c>
      <c r="K832" s="6">
        <v>101135.6</v>
      </c>
      <c r="L832" s="4" t="str">
        <f t="shared" si="1"/>
        <v>Sep-2025</v>
      </c>
    </row>
    <row r="833" ht="15.75" customHeight="1">
      <c r="A833" s="4" t="s">
        <v>1148</v>
      </c>
      <c r="B833" s="5">
        <v>45917.0</v>
      </c>
      <c r="C833" s="4" t="s">
        <v>140</v>
      </c>
      <c r="D833" s="4" t="s">
        <v>14</v>
      </c>
      <c r="E833" s="4" t="s">
        <v>15</v>
      </c>
      <c r="F833" s="4" t="s">
        <v>30</v>
      </c>
      <c r="G833" s="4">
        <v>7.0</v>
      </c>
      <c r="H833" s="6">
        <v>131.46</v>
      </c>
      <c r="I833" s="6">
        <v>920.22</v>
      </c>
      <c r="J833" s="6">
        <v>765.7</v>
      </c>
      <c r="K833" s="6">
        <v>154.52</v>
      </c>
      <c r="L833" s="4" t="str">
        <f t="shared" si="1"/>
        <v>Sep-2025</v>
      </c>
    </row>
    <row r="834" ht="15.75" customHeight="1">
      <c r="A834" s="4" t="s">
        <v>1149</v>
      </c>
      <c r="B834" s="5">
        <v>45918.0</v>
      </c>
      <c r="C834" s="4" t="s">
        <v>18</v>
      </c>
      <c r="D834" s="4" t="s">
        <v>19</v>
      </c>
      <c r="E834" s="4" t="s">
        <v>29</v>
      </c>
      <c r="F834" s="4" t="s">
        <v>450</v>
      </c>
      <c r="G834" s="4">
        <v>6.0</v>
      </c>
      <c r="H834" s="6">
        <v>47364.66</v>
      </c>
      <c r="I834" s="6">
        <v>284187.96</v>
      </c>
      <c r="J834" s="6">
        <v>249299.23</v>
      </c>
      <c r="K834" s="6">
        <v>34888.73</v>
      </c>
      <c r="L834" s="4" t="str">
        <f t="shared" si="1"/>
        <v>Sep-2025</v>
      </c>
    </row>
    <row r="835" ht="15.75" customHeight="1">
      <c r="A835" s="4" t="s">
        <v>1150</v>
      </c>
      <c r="B835" s="5">
        <v>45918.0</v>
      </c>
      <c r="C835" s="4" t="s">
        <v>92</v>
      </c>
      <c r="D835" s="4" t="s">
        <v>14</v>
      </c>
      <c r="E835" s="4" t="s">
        <v>15</v>
      </c>
      <c r="F835" s="4" t="s">
        <v>633</v>
      </c>
      <c r="G835" s="4">
        <v>6.0</v>
      </c>
      <c r="H835" s="6">
        <v>1158.34</v>
      </c>
      <c r="I835" s="6">
        <v>6950.04</v>
      </c>
      <c r="J835" s="6">
        <v>5810.45</v>
      </c>
      <c r="K835" s="6">
        <v>1139.59</v>
      </c>
      <c r="L835" s="4" t="str">
        <f t="shared" si="1"/>
        <v>Sep-2025</v>
      </c>
    </row>
    <row r="836" ht="15.75" customHeight="1">
      <c r="A836" s="4" t="s">
        <v>1151</v>
      </c>
      <c r="B836" s="5">
        <v>45918.0</v>
      </c>
      <c r="C836" s="4" t="s">
        <v>13</v>
      </c>
      <c r="D836" s="4" t="s">
        <v>14</v>
      </c>
      <c r="E836" s="4" t="s">
        <v>29</v>
      </c>
      <c r="F836" s="4" t="s">
        <v>497</v>
      </c>
      <c r="G836" s="4">
        <v>7.0</v>
      </c>
      <c r="H836" s="6">
        <v>913.44</v>
      </c>
      <c r="I836" s="6">
        <v>6394.08</v>
      </c>
      <c r="J836" s="6">
        <v>5160.44</v>
      </c>
      <c r="K836" s="6">
        <v>1233.64</v>
      </c>
      <c r="L836" s="4" t="str">
        <f t="shared" si="1"/>
        <v>Sep-2025</v>
      </c>
    </row>
    <row r="837" ht="15.75" customHeight="1">
      <c r="A837" s="4" t="s">
        <v>1152</v>
      </c>
      <c r="B837" s="5">
        <v>45919.0</v>
      </c>
      <c r="C837" s="4" t="s">
        <v>155</v>
      </c>
      <c r="D837" s="4" t="s">
        <v>24</v>
      </c>
      <c r="E837" s="4" t="s">
        <v>25</v>
      </c>
      <c r="F837" s="4" t="s">
        <v>195</v>
      </c>
      <c r="G837" s="4">
        <v>1.0</v>
      </c>
      <c r="H837" s="6">
        <v>3469.28</v>
      </c>
      <c r="I837" s="6">
        <v>3469.28</v>
      </c>
      <c r="J837" s="6">
        <v>2506.67</v>
      </c>
      <c r="K837" s="6">
        <v>962.61</v>
      </c>
      <c r="L837" s="4" t="str">
        <f t="shared" si="1"/>
        <v>Sep-2025</v>
      </c>
    </row>
    <row r="838" ht="15.75" customHeight="1">
      <c r="A838" s="4" t="s">
        <v>1153</v>
      </c>
      <c r="B838" s="5">
        <v>45919.0</v>
      </c>
      <c r="C838" s="4" t="s">
        <v>92</v>
      </c>
      <c r="D838" s="4" t="s">
        <v>14</v>
      </c>
      <c r="E838" s="4" t="s">
        <v>20</v>
      </c>
      <c r="F838" s="4" t="s">
        <v>248</v>
      </c>
      <c r="G838" s="4">
        <v>5.0</v>
      </c>
      <c r="H838" s="6">
        <v>177.79</v>
      </c>
      <c r="I838" s="6">
        <v>888.95</v>
      </c>
      <c r="J838" s="6">
        <v>728.13</v>
      </c>
      <c r="K838" s="6">
        <v>160.82</v>
      </c>
      <c r="L838" s="4" t="str">
        <f t="shared" si="1"/>
        <v>Sep-2025</v>
      </c>
    </row>
    <row r="839" ht="15.75" customHeight="1">
      <c r="A839" s="4" t="s">
        <v>1154</v>
      </c>
      <c r="B839" s="5">
        <v>45919.0</v>
      </c>
      <c r="C839" s="4" t="s">
        <v>180</v>
      </c>
      <c r="D839" s="4" t="s">
        <v>19</v>
      </c>
      <c r="E839" s="4" t="s">
        <v>29</v>
      </c>
      <c r="F839" s="4" t="s">
        <v>891</v>
      </c>
      <c r="G839" s="4">
        <v>6.0</v>
      </c>
      <c r="H839" s="6">
        <v>54846.26</v>
      </c>
      <c r="I839" s="6">
        <v>329077.56</v>
      </c>
      <c r="J839" s="6">
        <v>277330.17</v>
      </c>
      <c r="K839" s="6">
        <v>51747.39</v>
      </c>
      <c r="L839" s="4" t="str">
        <f t="shared" si="1"/>
        <v>Sep-2025</v>
      </c>
    </row>
    <row r="840" ht="15.75" customHeight="1">
      <c r="A840" s="4" t="s">
        <v>1155</v>
      </c>
      <c r="B840" s="5">
        <v>45920.0</v>
      </c>
      <c r="C840" s="4" t="s">
        <v>102</v>
      </c>
      <c r="D840" s="4" t="s">
        <v>24</v>
      </c>
      <c r="E840" s="4" t="s">
        <v>29</v>
      </c>
      <c r="F840" s="4" t="s">
        <v>1127</v>
      </c>
      <c r="G840" s="4">
        <v>2.0</v>
      </c>
      <c r="H840" s="6">
        <v>1408.92</v>
      </c>
      <c r="I840" s="6">
        <v>2817.84</v>
      </c>
      <c r="J840" s="6">
        <v>2276.37</v>
      </c>
      <c r="K840" s="6">
        <v>541.47</v>
      </c>
      <c r="L840" s="4" t="str">
        <f t="shared" si="1"/>
        <v>Sep-2025</v>
      </c>
    </row>
    <row r="841" ht="15.75" customHeight="1">
      <c r="A841" s="4" t="s">
        <v>1156</v>
      </c>
      <c r="B841" s="5">
        <v>45920.0</v>
      </c>
      <c r="C841" s="4" t="s">
        <v>72</v>
      </c>
      <c r="D841" s="4" t="s">
        <v>24</v>
      </c>
      <c r="E841" s="4" t="s">
        <v>29</v>
      </c>
      <c r="F841" s="4" t="s">
        <v>307</v>
      </c>
      <c r="G841" s="4">
        <v>5.0</v>
      </c>
      <c r="H841" s="6">
        <v>6282.43</v>
      </c>
      <c r="I841" s="6">
        <v>31412.15</v>
      </c>
      <c r="J841" s="6">
        <v>23363.18</v>
      </c>
      <c r="K841" s="6">
        <v>8048.97</v>
      </c>
      <c r="L841" s="4" t="str">
        <f t="shared" si="1"/>
        <v>Sep-2025</v>
      </c>
    </row>
    <row r="842" ht="15.75" customHeight="1">
      <c r="A842" s="4" t="s">
        <v>1157</v>
      </c>
      <c r="B842" s="5">
        <v>45920.0</v>
      </c>
      <c r="C842" s="4" t="s">
        <v>50</v>
      </c>
      <c r="D842" s="4" t="s">
        <v>42</v>
      </c>
      <c r="E842" s="4" t="s">
        <v>29</v>
      </c>
      <c r="F842" s="4" t="s">
        <v>39</v>
      </c>
      <c r="G842" s="4">
        <v>5.0</v>
      </c>
      <c r="H842" s="6">
        <v>4510.99</v>
      </c>
      <c r="I842" s="6">
        <v>22554.95</v>
      </c>
      <c r="J842" s="6">
        <v>17969.6</v>
      </c>
      <c r="K842" s="6">
        <v>4585.35</v>
      </c>
      <c r="L842" s="4" t="str">
        <f t="shared" si="1"/>
        <v>Sep-2025</v>
      </c>
    </row>
    <row r="843" ht="15.75" customHeight="1">
      <c r="A843" s="4" t="s">
        <v>1158</v>
      </c>
      <c r="B843" s="5">
        <v>45921.0</v>
      </c>
      <c r="C843" s="4" t="s">
        <v>72</v>
      </c>
      <c r="D843" s="4" t="s">
        <v>24</v>
      </c>
      <c r="E843" s="4" t="s">
        <v>15</v>
      </c>
      <c r="F843" s="4" t="s">
        <v>450</v>
      </c>
      <c r="G843" s="4">
        <v>4.0</v>
      </c>
      <c r="H843" s="6">
        <v>17347.64</v>
      </c>
      <c r="I843" s="6">
        <v>69390.56</v>
      </c>
      <c r="J843" s="6">
        <v>51758.04</v>
      </c>
      <c r="K843" s="6">
        <v>17632.52</v>
      </c>
      <c r="L843" s="4" t="str">
        <f t="shared" si="1"/>
        <v>Sep-2025</v>
      </c>
    </row>
    <row r="844" ht="15.75" customHeight="1">
      <c r="A844" s="4" t="s">
        <v>1159</v>
      </c>
      <c r="B844" s="5">
        <v>45921.0</v>
      </c>
      <c r="C844" s="4" t="s">
        <v>23</v>
      </c>
      <c r="D844" s="4" t="s">
        <v>24</v>
      </c>
      <c r="E844" s="4" t="s">
        <v>29</v>
      </c>
      <c r="F844" s="4" t="s">
        <v>359</v>
      </c>
      <c r="G844" s="4">
        <v>4.0</v>
      </c>
      <c r="H844" s="6">
        <v>17398.86</v>
      </c>
      <c r="I844" s="6">
        <v>69595.44</v>
      </c>
      <c r="J844" s="6">
        <v>51867.83</v>
      </c>
      <c r="K844" s="6">
        <v>17727.61</v>
      </c>
      <c r="L844" s="4" t="str">
        <f t="shared" si="1"/>
        <v>Sep-2025</v>
      </c>
    </row>
    <row r="845" ht="15.75" customHeight="1">
      <c r="A845" s="4" t="s">
        <v>1160</v>
      </c>
      <c r="B845" s="5">
        <v>45921.0</v>
      </c>
      <c r="C845" s="4" t="s">
        <v>32</v>
      </c>
      <c r="D845" s="4" t="s">
        <v>19</v>
      </c>
      <c r="E845" s="4" t="s">
        <v>20</v>
      </c>
      <c r="F845" s="4" t="s">
        <v>205</v>
      </c>
      <c r="G845" s="4">
        <v>6.0</v>
      </c>
      <c r="H845" s="6">
        <v>29816.7</v>
      </c>
      <c r="I845" s="6">
        <v>178900.2</v>
      </c>
      <c r="J845" s="6">
        <v>160675.94</v>
      </c>
      <c r="K845" s="6">
        <v>18224.26</v>
      </c>
      <c r="L845" s="4" t="str">
        <f t="shared" si="1"/>
        <v>Sep-2025</v>
      </c>
    </row>
    <row r="846" ht="15.75" customHeight="1">
      <c r="A846" s="4" t="s">
        <v>1161</v>
      </c>
      <c r="B846" s="5">
        <v>45921.0</v>
      </c>
      <c r="C846" s="4" t="s">
        <v>28</v>
      </c>
      <c r="D846" s="4" t="s">
        <v>14</v>
      </c>
      <c r="E846" s="4" t="s">
        <v>29</v>
      </c>
      <c r="F846" s="4" t="s">
        <v>596</v>
      </c>
      <c r="G846" s="4">
        <v>7.0</v>
      </c>
      <c r="H846" s="6">
        <v>1142.21</v>
      </c>
      <c r="I846" s="6">
        <v>7995.47</v>
      </c>
      <c r="J846" s="6">
        <v>6080.41</v>
      </c>
      <c r="K846" s="6">
        <v>1915.06</v>
      </c>
      <c r="L846" s="4" t="str">
        <f t="shared" si="1"/>
        <v>Sep-2025</v>
      </c>
    </row>
    <row r="847" ht="15.75" customHeight="1">
      <c r="A847" s="4" t="s">
        <v>1162</v>
      </c>
      <c r="B847" s="5">
        <v>45921.0</v>
      </c>
      <c r="C847" s="4" t="s">
        <v>38</v>
      </c>
      <c r="D847" s="4" t="s">
        <v>19</v>
      </c>
      <c r="E847" s="4" t="s">
        <v>29</v>
      </c>
      <c r="F847" s="4" t="s">
        <v>199</v>
      </c>
      <c r="G847" s="4">
        <v>1.0</v>
      </c>
      <c r="H847" s="6">
        <v>22402.9</v>
      </c>
      <c r="I847" s="6">
        <v>22402.9</v>
      </c>
      <c r="J847" s="6">
        <v>20053.92</v>
      </c>
      <c r="K847" s="6">
        <v>2348.98</v>
      </c>
      <c r="L847" s="4" t="str">
        <f t="shared" si="1"/>
        <v>Sep-2025</v>
      </c>
    </row>
    <row r="848" ht="15.75" customHeight="1">
      <c r="A848" s="4" t="s">
        <v>1163</v>
      </c>
      <c r="B848" s="5">
        <v>45921.0</v>
      </c>
      <c r="C848" s="4" t="s">
        <v>180</v>
      </c>
      <c r="D848" s="4" t="s">
        <v>19</v>
      </c>
      <c r="E848" s="4" t="s">
        <v>29</v>
      </c>
      <c r="F848" s="4" t="s">
        <v>422</v>
      </c>
      <c r="G848" s="4">
        <v>2.0</v>
      </c>
      <c r="H848" s="6">
        <v>51265.79</v>
      </c>
      <c r="I848" s="6">
        <v>102531.58</v>
      </c>
      <c r="J848" s="6">
        <v>91488.98</v>
      </c>
      <c r="K848" s="6">
        <v>11042.6</v>
      </c>
      <c r="L848" s="4" t="str">
        <f t="shared" si="1"/>
        <v>Sep-2025</v>
      </c>
    </row>
    <row r="849" ht="15.75" customHeight="1">
      <c r="A849" s="4" t="s">
        <v>1164</v>
      </c>
      <c r="B849" s="5">
        <v>45921.0</v>
      </c>
      <c r="C849" s="4" t="s">
        <v>50</v>
      </c>
      <c r="D849" s="4" t="s">
        <v>42</v>
      </c>
      <c r="E849" s="4" t="s">
        <v>29</v>
      </c>
      <c r="F849" s="4" t="s">
        <v>55</v>
      </c>
      <c r="G849" s="4">
        <v>7.0</v>
      </c>
      <c r="H849" s="6">
        <v>3233.02</v>
      </c>
      <c r="I849" s="6">
        <v>22631.14</v>
      </c>
      <c r="J849" s="6">
        <v>17811.44</v>
      </c>
      <c r="K849" s="6">
        <v>4819.7</v>
      </c>
      <c r="L849" s="4" t="str">
        <f t="shared" si="1"/>
        <v>Sep-2025</v>
      </c>
    </row>
    <row r="850" ht="15.75" customHeight="1">
      <c r="A850" s="4" t="s">
        <v>1165</v>
      </c>
      <c r="B850" s="5">
        <v>45921.0</v>
      </c>
      <c r="C850" s="4" t="s">
        <v>41</v>
      </c>
      <c r="D850" s="4" t="s">
        <v>42</v>
      </c>
      <c r="E850" s="4" t="s">
        <v>29</v>
      </c>
      <c r="F850" s="4" t="s">
        <v>135</v>
      </c>
      <c r="G850" s="4">
        <v>3.0</v>
      </c>
      <c r="H850" s="6">
        <v>3593.75</v>
      </c>
      <c r="I850" s="6">
        <v>10781.25</v>
      </c>
      <c r="J850" s="6">
        <v>8171.37</v>
      </c>
      <c r="K850" s="6">
        <v>2609.88</v>
      </c>
      <c r="L850" s="4" t="str">
        <f t="shared" si="1"/>
        <v>Sep-2025</v>
      </c>
    </row>
    <row r="851" ht="15.75" customHeight="1">
      <c r="A851" s="4" t="s">
        <v>1166</v>
      </c>
      <c r="B851" s="5">
        <v>45921.0</v>
      </c>
      <c r="C851" s="4" t="s">
        <v>66</v>
      </c>
      <c r="D851" s="4" t="s">
        <v>42</v>
      </c>
      <c r="E851" s="4" t="s">
        <v>25</v>
      </c>
      <c r="F851" s="4" t="s">
        <v>371</v>
      </c>
      <c r="G851" s="4">
        <v>6.0</v>
      </c>
      <c r="H851" s="6">
        <v>3592.82</v>
      </c>
      <c r="I851" s="6">
        <v>21556.92</v>
      </c>
      <c r="J851" s="6">
        <v>16382.49</v>
      </c>
      <c r="K851" s="6">
        <v>5174.43</v>
      </c>
      <c r="L851" s="4" t="str">
        <f t="shared" si="1"/>
        <v>Sep-2025</v>
      </c>
    </row>
    <row r="852" ht="15.75" customHeight="1">
      <c r="A852" s="4" t="s">
        <v>1167</v>
      </c>
      <c r="B852" s="5">
        <v>45922.0</v>
      </c>
      <c r="C852" s="4" t="s">
        <v>32</v>
      </c>
      <c r="D852" s="4" t="s">
        <v>19</v>
      </c>
      <c r="E852" s="4" t="s">
        <v>20</v>
      </c>
      <c r="F852" s="4" t="s">
        <v>522</v>
      </c>
      <c r="G852" s="4">
        <v>7.0</v>
      </c>
      <c r="H852" s="6">
        <v>69029.2</v>
      </c>
      <c r="I852" s="6">
        <v>483204.4</v>
      </c>
      <c r="J852" s="6">
        <v>386954.62</v>
      </c>
      <c r="K852" s="6">
        <v>96249.78</v>
      </c>
      <c r="L852" s="4" t="str">
        <f t="shared" si="1"/>
        <v>Sep-2025</v>
      </c>
    </row>
    <row r="853" ht="15.75" customHeight="1">
      <c r="A853" s="4" t="s">
        <v>1168</v>
      </c>
      <c r="B853" s="5">
        <v>45922.0</v>
      </c>
      <c r="C853" s="4" t="s">
        <v>61</v>
      </c>
      <c r="D853" s="4" t="s">
        <v>19</v>
      </c>
      <c r="E853" s="4" t="s">
        <v>29</v>
      </c>
      <c r="F853" s="4" t="s">
        <v>80</v>
      </c>
      <c r="G853" s="4">
        <v>1.0</v>
      </c>
      <c r="H853" s="6">
        <v>46586.34</v>
      </c>
      <c r="I853" s="6">
        <v>46586.34</v>
      </c>
      <c r="J853" s="6">
        <v>42223.04</v>
      </c>
      <c r="K853" s="6">
        <v>4363.3</v>
      </c>
      <c r="L853" s="4" t="str">
        <f t="shared" si="1"/>
        <v>Sep-2025</v>
      </c>
    </row>
    <row r="854" ht="15.75" customHeight="1">
      <c r="A854" s="4" t="s">
        <v>1169</v>
      </c>
      <c r="B854" s="5">
        <v>45923.0</v>
      </c>
      <c r="C854" s="4" t="s">
        <v>72</v>
      </c>
      <c r="D854" s="4" t="s">
        <v>24</v>
      </c>
      <c r="E854" s="4" t="s">
        <v>20</v>
      </c>
      <c r="F854" s="4" t="s">
        <v>107</v>
      </c>
      <c r="G854" s="4">
        <v>6.0</v>
      </c>
      <c r="H854" s="6">
        <v>13139.0</v>
      </c>
      <c r="I854" s="6">
        <v>78834.0</v>
      </c>
      <c r="J854" s="6">
        <v>63149.33</v>
      </c>
      <c r="K854" s="6">
        <v>15684.67</v>
      </c>
      <c r="L854" s="4" t="str">
        <f t="shared" si="1"/>
        <v>Sep-2025</v>
      </c>
    </row>
    <row r="855" ht="15.75" customHeight="1">
      <c r="A855" s="4" t="s">
        <v>1170</v>
      </c>
      <c r="B855" s="5">
        <v>45923.0</v>
      </c>
      <c r="C855" s="4" t="s">
        <v>35</v>
      </c>
      <c r="D855" s="4" t="s">
        <v>14</v>
      </c>
      <c r="E855" s="4" t="s">
        <v>29</v>
      </c>
      <c r="F855" s="4" t="s">
        <v>954</v>
      </c>
      <c r="G855" s="4">
        <v>7.0</v>
      </c>
      <c r="H855" s="6">
        <v>1159.07</v>
      </c>
      <c r="I855" s="6">
        <v>8113.49</v>
      </c>
      <c r="J855" s="6">
        <v>5552.61</v>
      </c>
      <c r="K855" s="6">
        <v>2560.88</v>
      </c>
      <c r="L855" s="4" t="str">
        <f t="shared" si="1"/>
        <v>Sep-2025</v>
      </c>
    </row>
    <row r="856" ht="15.75" customHeight="1">
      <c r="A856" s="4" t="s">
        <v>1171</v>
      </c>
      <c r="B856" s="5">
        <v>45923.0</v>
      </c>
      <c r="C856" s="4" t="s">
        <v>180</v>
      </c>
      <c r="D856" s="4" t="s">
        <v>19</v>
      </c>
      <c r="E856" s="4" t="s">
        <v>15</v>
      </c>
      <c r="F856" s="4" t="s">
        <v>90</v>
      </c>
      <c r="G856" s="4">
        <v>3.0</v>
      </c>
      <c r="H856" s="6">
        <v>38605.56</v>
      </c>
      <c r="I856" s="6">
        <v>115816.68</v>
      </c>
      <c r="J856" s="6">
        <v>98966.52</v>
      </c>
      <c r="K856" s="6">
        <v>16850.16</v>
      </c>
      <c r="L856" s="4" t="str">
        <f t="shared" si="1"/>
        <v>Sep-2025</v>
      </c>
    </row>
    <row r="857" ht="15.75" customHeight="1">
      <c r="A857" s="4" t="s">
        <v>1172</v>
      </c>
      <c r="B857" s="5">
        <v>45923.0</v>
      </c>
      <c r="C857" s="4" t="s">
        <v>109</v>
      </c>
      <c r="D857" s="4" t="s">
        <v>42</v>
      </c>
      <c r="E857" s="4" t="s">
        <v>29</v>
      </c>
      <c r="F857" s="4" t="s">
        <v>338</v>
      </c>
      <c r="G857" s="4">
        <v>6.0</v>
      </c>
      <c r="H857" s="6">
        <v>2583.9</v>
      </c>
      <c r="I857" s="6">
        <v>15503.4</v>
      </c>
      <c r="J857" s="6">
        <v>11640.2</v>
      </c>
      <c r="K857" s="6">
        <v>3863.2</v>
      </c>
      <c r="L857" s="4" t="str">
        <f t="shared" si="1"/>
        <v>Sep-2025</v>
      </c>
    </row>
    <row r="858" ht="15.75" customHeight="1">
      <c r="A858" s="4" t="s">
        <v>1173</v>
      </c>
      <c r="B858" s="5">
        <v>45923.0</v>
      </c>
      <c r="C858" s="4" t="s">
        <v>18</v>
      </c>
      <c r="D858" s="4" t="s">
        <v>19</v>
      </c>
      <c r="E858" s="4" t="s">
        <v>29</v>
      </c>
      <c r="F858" s="4" t="s">
        <v>1174</v>
      </c>
      <c r="G858" s="4">
        <v>4.0</v>
      </c>
      <c r="H858" s="6">
        <v>35995.74</v>
      </c>
      <c r="I858" s="6">
        <v>143982.96</v>
      </c>
      <c r="J858" s="6">
        <v>130495.39</v>
      </c>
      <c r="K858" s="6">
        <v>13487.57</v>
      </c>
      <c r="L858" s="4" t="str">
        <f t="shared" si="1"/>
        <v>Sep-2025</v>
      </c>
    </row>
    <row r="859" ht="15.75" customHeight="1">
      <c r="A859" s="4" t="s">
        <v>1175</v>
      </c>
      <c r="B859" s="5">
        <v>45923.0</v>
      </c>
      <c r="C859" s="4" t="s">
        <v>38</v>
      </c>
      <c r="D859" s="4" t="s">
        <v>19</v>
      </c>
      <c r="E859" s="4" t="s">
        <v>20</v>
      </c>
      <c r="F859" s="4" t="s">
        <v>359</v>
      </c>
      <c r="G859" s="4">
        <v>6.0</v>
      </c>
      <c r="H859" s="6">
        <v>74619.08</v>
      </c>
      <c r="I859" s="6">
        <v>447714.48</v>
      </c>
      <c r="J859" s="6">
        <v>408793.02</v>
      </c>
      <c r="K859" s="6">
        <v>38921.46</v>
      </c>
      <c r="L859" s="4" t="str">
        <f t="shared" si="1"/>
        <v>Sep-2025</v>
      </c>
    </row>
    <row r="860" ht="15.75" customHeight="1">
      <c r="A860" s="4" t="s">
        <v>1176</v>
      </c>
      <c r="B860" s="5">
        <v>45924.0</v>
      </c>
      <c r="C860" s="4" t="s">
        <v>160</v>
      </c>
      <c r="D860" s="4" t="s">
        <v>42</v>
      </c>
      <c r="E860" s="4" t="s">
        <v>25</v>
      </c>
      <c r="F860" s="4" t="s">
        <v>297</v>
      </c>
      <c r="G860" s="4">
        <v>1.0</v>
      </c>
      <c r="H860" s="6">
        <v>1361.82</v>
      </c>
      <c r="I860" s="6">
        <v>1361.82</v>
      </c>
      <c r="J860" s="6">
        <v>1099.37</v>
      </c>
      <c r="K860" s="6">
        <v>262.45</v>
      </c>
      <c r="L860" s="4" t="str">
        <f t="shared" si="1"/>
        <v>Sep-2025</v>
      </c>
    </row>
    <row r="861" ht="15.75" customHeight="1">
      <c r="A861" s="4" t="s">
        <v>1177</v>
      </c>
      <c r="B861" s="5">
        <v>45924.0</v>
      </c>
      <c r="C861" s="4" t="s">
        <v>32</v>
      </c>
      <c r="D861" s="4" t="s">
        <v>19</v>
      </c>
      <c r="E861" s="4" t="s">
        <v>25</v>
      </c>
      <c r="F861" s="4" t="s">
        <v>976</v>
      </c>
      <c r="G861" s="4">
        <v>1.0</v>
      </c>
      <c r="H861" s="6">
        <v>72114.98</v>
      </c>
      <c r="I861" s="6">
        <v>72114.98</v>
      </c>
      <c r="J861" s="6">
        <v>60916.42</v>
      </c>
      <c r="K861" s="6">
        <v>11198.56</v>
      </c>
      <c r="L861" s="4" t="str">
        <f t="shared" si="1"/>
        <v>Sep-2025</v>
      </c>
    </row>
    <row r="862" ht="15.75" customHeight="1">
      <c r="A862" s="4" t="s">
        <v>1178</v>
      </c>
      <c r="B862" s="5">
        <v>45924.0</v>
      </c>
      <c r="C862" s="4" t="s">
        <v>47</v>
      </c>
      <c r="D862" s="4" t="s">
        <v>14</v>
      </c>
      <c r="E862" s="4" t="s">
        <v>15</v>
      </c>
      <c r="F862" s="4" t="s">
        <v>114</v>
      </c>
      <c r="G862" s="4">
        <v>6.0</v>
      </c>
      <c r="H862" s="6">
        <v>862.3</v>
      </c>
      <c r="I862" s="6">
        <v>5173.8</v>
      </c>
      <c r="J862" s="6">
        <v>3866.39</v>
      </c>
      <c r="K862" s="6">
        <v>1307.41</v>
      </c>
      <c r="L862" s="4" t="str">
        <f t="shared" si="1"/>
        <v>Sep-2025</v>
      </c>
    </row>
    <row r="863" ht="15.75" customHeight="1">
      <c r="A863" s="4" t="s">
        <v>1179</v>
      </c>
      <c r="B863" s="5">
        <v>45924.0</v>
      </c>
      <c r="C863" s="4" t="s">
        <v>180</v>
      </c>
      <c r="D863" s="4" t="s">
        <v>19</v>
      </c>
      <c r="E863" s="4" t="s">
        <v>15</v>
      </c>
      <c r="F863" s="4" t="s">
        <v>396</v>
      </c>
      <c r="G863" s="4">
        <v>3.0</v>
      </c>
      <c r="H863" s="6">
        <v>2233.43</v>
      </c>
      <c r="I863" s="6">
        <v>6700.29</v>
      </c>
      <c r="J863" s="6">
        <v>5760.63</v>
      </c>
      <c r="K863" s="6">
        <v>939.66</v>
      </c>
      <c r="L863" s="4" t="str">
        <f t="shared" si="1"/>
        <v>Sep-2025</v>
      </c>
    </row>
    <row r="864" ht="15.75" customHeight="1">
      <c r="A864" s="4" t="s">
        <v>1180</v>
      </c>
      <c r="B864" s="5">
        <v>45924.0</v>
      </c>
      <c r="C864" s="4" t="s">
        <v>35</v>
      </c>
      <c r="D864" s="4" t="s">
        <v>14</v>
      </c>
      <c r="E864" s="4" t="s">
        <v>25</v>
      </c>
      <c r="F864" s="4" t="s">
        <v>86</v>
      </c>
      <c r="G864" s="4">
        <v>7.0</v>
      </c>
      <c r="H864" s="6">
        <v>1311.46</v>
      </c>
      <c r="I864" s="6">
        <v>9180.22</v>
      </c>
      <c r="J864" s="6">
        <v>7608.39</v>
      </c>
      <c r="K864" s="6">
        <v>1571.83</v>
      </c>
      <c r="L864" s="4" t="str">
        <f t="shared" si="1"/>
        <v>Sep-2025</v>
      </c>
    </row>
    <row r="865" ht="15.75" customHeight="1">
      <c r="A865" s="4" t="s">
        <v>1181</v>
      </c>
      <c r="B865" s="5">
        <v>45925.0</v>
      </c>
      <c r="C865" s="4" t="s">
        <v>180</v>
      </c>
      <c r="D865" s="4" t="s">
        <v>19</v>
      </c>
      <c r="E865" s="4" t="s">
        <v>25</v>
      </c>
      <c r="F865" s="4" t="s">
        <v>1106</v>
      </c>
      <c r="G865" s="4">
        <v>4.0</v>
      </c>
      <c r="H865" s="6">
        <v>57046.6</v>
      </c>
      <c r="I865" s="6">
        <v>228186.4</v>
      </c>
      <c r="J865" s="6">
        <v>189120.74</v>
      </c>
      <c r="K865" s="6">
        <v>39065.66</v>
      </c>
      <c r="L865" s="4" t="str">
        <f t="shared" si="1"/>
        <v>Sep-2025</v>
      </c>
    </row>
    <row r="866" ht="15.75" customHeight="1">
      <c r="A866" s="4" t="s">
        <v>1182</v>
      </c>
      <c r="B866" s="5">
        <v>45925.0</v>
      </c>
      <c r="C866" s="4" t="s">
        <v>75</v>
      </c>
      <c r="D866" s="4" t="s">
        <v>24</v>
      </c>
      <c r="E866" s="4" t="s">
        <v>29</v>
      </c>
      <c r="F866" s="4" t="s">
        <v>962</v>
      </c>
      <c r="G866" s="4">
        <v>3.0</v>
      </c>
      <c r="H866" s="6">
        <v>5577.38</v>
      </c>
      <c r="I866" s="6">
        <v>16732.14</v>
      </c>
      <c r="J866" s="6">
        <v>14585.91</v>
      </c>
      <c r="K866" s="6">
        <v>2146.23</v>
      </c>
      <c r="L866" s="4" t="str">
        <f t="shared" si="1"/>
        <v>Sep-2025</v>
      </c>
    </row>
    <row r="867" ht="15.75" customHeight="1">
      <c r="A867" s="4" t="s">
        <v>1183</v>
      </c>
      <c r="B867" s="5">
        <v>45925.0</v>
      </c>
      <c r="C867" s="4" t="s">
        <v>109</v>
      </c>
      <c r="D867" s="4" t="s">
        <v>42</v>
      </c>
      <c r="E867" s="4" t="s">
        <v>20</v>
      </c>
      <c r="F867" s="4" t="s">
        <v>628</v>
      </c>
      <c r="G867" s="4">
        <v>3.0</v>
      </c>
      <c r="H867" s="6">
        <v>1866.98</v>
      </c>
      <c r="I867" s="6">
        <v>5600.94</v>
      </c>
      <c r="J867" s="6">
        <v>4699.66</v>
      </c>
      <c r="K867" s="6">
        <v>901.28</v>
      </c>
      <c r="L867" s="4" t="str">
        <f t="shared" si="1"/>
        <v>Sep-2025</v>
      </c>
    </row>
    <row r="868" ht="15.75" customHeight="1">
      <c r="A868" s="4" t="s">
        <v>1184</v>
      </c>
      <c r="B868" s="5">
        <v>45925.0</v>
      </c>
      <c r="C868" s="4" t="s">
        <v>140</v>
      </c>
      <c r="D868" s="4" t="s">
        <v>14</v>
      </c>
      <c r="E868" s="4" t="s">
        <v>25</v>
      </c>
      <c r="F868" s="4" t="s">
        <v>135</v>
      </c>
      <c r="G868" s="4">
        <v>1.0</v>
      </c>
      <c r="H868" s="6">
        <v>1239.93</v>
      </c>
      <c r="I868" s="6">
        <v>1239.93</v>
      </c>
      <c r="J868" s="6">
        <v>939.63</v>
      </c>
      <c r="K868" s="6">
        <v>300.3</v>
      </c>
      <c r="L868" s="4" t="str">
        <f t="shared" si="1"/>
        <v>Sep-2025</v>
      </c>
    </row>
    <row r="869" ht="15.75" customHeight="1">
      <c r="A869" s="4" t="s">
        <v>1185</v>
      </c>
      <c r="B869" s="5">
        <v>45926.0</v>
      </c>
      <c r="C869" s="4" t="s">
        <v>32</v>
      </c>
      <c r="D869" s="4" t="s">
        <v>19</v>
      </c>
      <c r="E869" s="4" t="s">
        <v>15</v>
      </c>
      <c r="F869" s="4" t="s">
        <v>121</v>
      </c>
      <c r="G869" s="4">
        <v>7.0</v>
      </c>
      <c r="H869" s="6">
        <v>62552.06</v>
      </c>
      <c r="I869" s="6">
        <v>437864.42</v>
      </c>
      <c r="J869" s="6">
        <v>387880.78</v>
      </c>
      <c r="K869" s="6">
        <v>49983.64</v>
      </c>
      <c r="L869" s="4" t="str">
        <f t="shared" si="1"/>
        <v>Sep-2025</v>
      </c>
    </row>
    <row r="870" ht="15.75" customHeight="1">
      <c r="A870" s="4" t="s">
        <v>1186</v>
      </c>
      <c r="B870" s="5">
        <v>45927.0</v>
      </c>
      <c r="C870" s="4" t="s">
        <v>23</v>
      </c>
      <c r="D870" s="4" t="s">
        <v>24</v>
      </c>
      <c r="E870" s="4" t="s">
        <v>25</v>
      </c>
      <c r="F870" s="4" t="s">
        <v>384</v>
      </c>
      <c r="G870" s="4">
        <v>3.0</v>
      </c>
      <c r="H870" s="6">
        <v>10620.37</v>
      </c>
      <c r="I870" s="6">
        <v>31861.11</v>
      </c>
      <c r="J870" s="6">
        <v>25747.48</v>
      </c>
      <c r="K870" s="6">
        <v>6113.63</v>
      </c>
      <c r="L870" s="4" t="str">
        <f t="shared" si="1"/>
        <v>Sep-2025</v>
      </c>
    </row>
    <row r="871" ht="15.75" customHeight="1">
      <c r="A871" s="4" t="s">
        <v>1187</v>
      </c>
      <c r="B871" s="5">
        <v>45928.0</v>
      </c>
      <c r="C871" s="4" t="s">
        <v>35</v>
      </c>
      <c r="D871" s="4" t="s">
        <v>14</v>
      </c>
      <c r="E871" s="4" t="s">
        <v>20</v>
      </c>
      <c r="F871" s="4" t="s">
        <v>516</v>
      </c>
      <c r="G871" s="4">
        <v>7.0</v>
      </c>
      <c r="H871" s="6">
        <v>1268.16</v>
      </c>
      <c r="I871" s="6">
        <v>8877.12</v>
      </c>
      <c r="J871" s="6">
        <v>6984.97</v>
      </c>
      <c r="K871" s="6">
        <v>1892.15</v>
      </c>
      <c r="L871" s="4" t="str">
        <f t="shared" si="1"/>
        <v>Sep-2025</v>
      </c>
    </row>
    <row r="872" ht="15.75" customHeight="1">
      <c r="A872" s="4" t="s">
        <v>1188</v>
      </c>
      <c r="B872" s="5">
        <v>45928.0</v>
      </c>
      <c r="C872" s="4" t="s">
        <v>69</v>
      </c>
      <c r="D872" s="4" t="s">
        <v>19</v>
      </c>
      <c r="E872" s="4" t="s">
        <v>25</v>
      </c>
      <c r="F872" s="4" t="s">
        <v>765</v>
      </c>
      <c r="G872" s="4">
        <v>4.0</v>
      </c>
      <c r="H872" s="6">
        <v>59726.87</v>
      </c>
      <c r="I872" s="6">
        <v>238907.48</v>
      </c>
      <c r="J872" s="6">
        <v>213990.36</v>
      </c>
      <c r="K872" s="6">
        <v>24917.12</v>
      </c>
      <c r="L872" s="4" t="str">
        <f t="shared" si="1"/>
        <v>Sep-2025</v>
      </c>
    </row>
    <row r="873" ht="15.75" customHeight="1">
      <c r="A873" s="4" t="s">
        <v>1189</v>
      </c>
      <c r="B873" s="5">
        <v>45928.0</v>
      </c>
      <c r="C873" s="4" t="s">
        <v>180</v>
      </c>
      <c r="D873" s="4" t="s">
        <v>19</v>
      </c>
      <c r="E873" s="4" t="s">
        <v>25</v>
      </c>
      <c r="F873" s="4" t="s">
        <v>279</v>
      </c>
      <c r="G873" s="4">
        <v>6.0</v>
      </c>
      <c r="H873" s="6">
        <v>20486.23</v>
      </c>
      <c r="I873" s="6">
        <v>122917.38</v>
      </c>
      <c r="J873" s="6">
        <v>110602.57</v>
      </c>
      <c r="K873" s="6">
        <v>12314.81</v>
      </c>
      <c r="L873" s="4" t="str">
        <f t="shared" si="1"/>
        <v>Sep-2025</v>
      </c>
    </row>
    <row r="874" ht="15.75" customHeight="1">
      <c r="A874" s="4" t="s">
        <v>1190</v>
      </c>
      <c r="B874" s="5">
        <v>45928.0</v>
      </c>
      <c r="C874" s="4" t="s">
        <v>155</v>
      </c>
      <c r="D874" s="4" t="s">
        <v>24</v>
      </c>
      <c r="E874" s="4" t="s">
        <v>25</v>
      </c>
      <c r="F874" s="4" t="s">
        <v>321</v>
      </c>
      <c r="G874" s="4">
        <v>7.0</v>
      </c>
      <c r="H874" s="6">
        <v>10458.67</v>
      </c>
      <c r="I874" s="6">
        <v>73210.69</v>
      </c>
      <c r="J874" s="6">
        <v>62810.1</v>
      </c>
      <c r="K874" s="6">
        <v>10400.59</v>
      </c>
      <c r="L874" s="4" t="str">
        <f t="shared" si="1"/>
        <v>Sep-2025</v>
      </c>
    </row>
    <row r="875" ht="15.75" customHeight="1">
      <c r="A875" s="4" t="s">
        <v>1191</v>
      </c>
      <c r="B875" s="5">
        <v>45928.0</v>
      </c>
      <c r="C875" s="4" t="s">
        <v>32</v>
      </c>
      <c r="D875" s="4" t="s">
        <v>19</v>
      </c>
      <c r="E875" s="4" t="s">
        <v>25</v>
      </c>
      <c r="F875" s="4" t="s">
        <v>330</v>
      </c>
      <c r="G875" s="4">
        <v>7.0</v>
      </c>
      <c r="H875" s="6">
        <v>61123.54</v>
      </c>
      <c r="I875" s="6">
        <v>427864.78</v>
      </c>
      <c r="J875" s="6">
        <v>356764.45</v>
      </c>
      <c r="K875" s="6">
        <v>71100.33</v>
      </c>
      <c r="L875" s="4" t="str">
        <f t="shared" si="1"/>
        <v>Sep-2025</v>
      </c>
    </row>
    <row r="876" ht="15.75" customHeight="1">
      <c r="A876" s="4" t="s">
        <v>1192</v>
      </c>
      <c r="B876" s="5">
        <v>45928.0</v>
      </c>
      <c r="C876" s="4" t="s">
        <v>18</v>
      </c>
      <c r="D876" s="4" t="s">
        <v>19</v>
      </c>
      <c r="E876" s="4" t="s">
        <v>15</v>
      </c>
      <c r="F876" s="4" t="s">
        <v>446</v>
      </c>
      <c r="G876" s="4">
        <v>7.0</v>
      </c>
      <c r="H876" s="6">
        <v>70817.62</v>
      </c>
      <c r="I876" s="6">
        <v>495723.34</v>
      </c>
      <c r="J876" s="6">
        <v>414813.35</v>
      </c>
      <c r="K876" s="6">
        <v>80909.99</v>
      </c>
      <c r="L876" s="4" t="str">
        <f t="shared" si="1"/>
        <v>Sep-2025</v>
      </c>
    </row>
    <row r="877" ht="15.75" customHeight="1">
      <c r="A877" s="4" t="s">
        <v>1193</v>
      </c>
      <c r="B877" s="5">
        <v>45928.0</v>
      </c>
      <c r="C877" s="4" t="s">
        <v>23</v>
      </c>
      <c r="D877" s="4" t="s">
        <v>24</v>
      </c>
      <c r="E877" s="4" t="s">
        <v>29</v>
      </c>
      <c r="F877" s="4" t="s">
        <v>795</v>
      </c>
      <c r="G877" s="4">
        <v>5.0</v>
      </c>
      <c r="H877" s="6">
        <v>11025.51</v>
      </c>
      <c r="I877" s="6">
        <v>55127.55</v>
      </c>
      <c r="J877" s="6">
        <v>47630.42</v>
      </c>
      <c r="K877" s="6">
        <v>7497.13</v>
      </c>
      <c r="L877" s="4" t="str">
        <f t="shared" si="1"/>
        <v>Sep-2025</v>
      </c>
    </row>
    <row r="878" ht="15.75" customHeight="1">
      <c r="A878" s="4" t="s">
        <v>1194</v>
      </c>
      <c r="B878" s="5">
        <v>45928.0</v>
      </c>
      <c r="C878" s="4" t="s">
        <v>35</v>
      </c>
      <c r="D878" s="4" t="s">
        <v>14</v>
      </c>
      <c r="E878" s="4" t="s">
        <v>29</v>
      </c>
      <c r="F878" s="4" t="s">
        <v>270</v>
      </c>
      <c r="G878" s="4">
        <v>1.0</v>
      </c>
      <c r="H878" s="6">
        <v>504.98</v>
      </c>
      <c r="I878" s="6">
        <v>504.98</v>
      </c>
      <c r="J878" s="6">
        <v>420.18</v>
      </c>
      <c r="K878" s="6">
        <v>84.8</v>
      </c>
      <c r="L878" s="4" t="str">
        <f t="shared" si="1"/>
        <v>Sep-2025</v>
      </c>
    </row>
    <row r="879" ht="15.75" customHeight="1">
      <c r="A879" s="4" t="s">
        <v>1195</v>
      </c>
      <c r="B879" s="5">
        <v>45929.0</v>
      </c>
      <c r="C879" s="4" t="s">
        <v>140</v>
      </c>
      <c r="D879" s="4" t="s">
        <v>14</v>
      </c>
      <c r="E879" s="4" t="s">
        <v>25</v>
      </c>
      <c r="F879" s="4" t="s">
        <v>105</v>
      </c>
      <c r="G879" s="4">
        <v>7.0</v>
      </c>
      <c r="H879" s="6">
        <v>681.73</v>
      </c>
      <c r="I879" s="6">
        <v>4772.11</v>
      </c>
      <c r="J879" s="6">
        <v>3597.09</v>
      </c>
      <c r="K879" s="6">
        <v>1175.02</v>
      </c>
      <c r="L879" s="4" t="str">
        <f t="shared" si="1"/>
        <v>Sep-2025</v>
      </c>
    </row>
    <row r="880" ht="15.75" customHeight="1">
      <c r="A880" s="4" t="s">
        <v>1196</v>
      </c>
      <c r="B880" s="5">
        <v>45930.0</v>
      </c>
      <c r="C880" s="4" t="s">
        <v>69</v>
      </c>
      <c r="D880" s="4" t="s">
        <v>19</v>
      </c>
      <c r="E880" s="4" t="s">
        <v>25</v>
      </c>
      <c r="F880" s="4" t="s">
        <v>227</v>
      </c>
      <c r="G880" s="4">
        <v>3.0</v>
      </c>
      <c r="H880" s="6">
        <v>41316.9</v>
      </c>
      <c r="I880" s="6">
        <v>123950.7</v>
      </c>
      <c r="J880" s="6">
        <v>105254.28</v>
      </c>
      <c r="K880" s="6">
        <v>18696.42</v>
      </c>
      <c r="L880" s="4" t="str">
        <f t="shared" si="1"/>
        <v>Sep-2025</v>
      </c>
    </row>
    <row r="881" ht="15.75" customHeight="1">
      <c r="A881" s="4" t="s">
        <v>1197</v>
      </c>
      <c r="B881" s="5">
        <v>45930.0</v>
      </c>
      <c r="C881" s="4" t="s">
        <v>102</v>
      </c>
      <c r="D881" s="4" t="s">
        <v>24</v>
      </c>
      <c r="E881" s="4" t="s">
        <v>29</v>
      </c>
      <c r="F881" s="4" t="s">
        <v>559</v>
      </c>
      <c r="G881" s="4">
        <v>6.0</v>
      </c>
      <c r="H881" s="6">
        <v>12303.58</v>
      </c>
      <c r="I881" s="6">
        <v>73821.48</v>
      </c>
      <c r="J881" s="6">
        <v>61684.96</v>
      </c>
      <c r="K881" s="6">
        <v>12136.52</v>
      </c>
      <c r="L881" s="4" t="str">
        <f t="shared" si="1"/>
        <v>Sep-2025</v>
      </c>
    </row>
    <row r="882" ht="15.75" customHeight="1">
      <c r="A882" s="4" t="s">
        <v>1198</v>
      </c>
      <c r="B882" s="5">
        <v>45930.0</v>
      </c>
      <c r="C882" s="4" t="s">
        <v>109</v>
      </c>
      <c r="D882" s="4" t="s">
        <v>42</v>
      </c>
      <c r="E882" s="4" t="s">
        <v>29</v>
      </c>
      <c r="F882" s="4" t="s">
        <v>197</v>
      </c>
      <c r="G882" s="4">
        <v>1.0</v>
      </c>
      <c r="H882" s="6">
        <v>4744.2</v>
      </c>
      <c r="I882" s="6">
        <v>4744.2</v>
      </c>
      <c r="J882" s="6">
        <v>4032.87</v>
      </c>
      <c r="K882" s="6">
        <v>711.33</v>
      </c>
      <c r="L882" s="4" t="str">
        <f t="shared" si="1"/>
        <v>Sep-2025</v>
      </c>
    </row>
    <row r="883" ht="15.75" customHeight="1">
      <c r="A883" s="4" t="s">
        <v>1199</v>
      </c>
      <c r="B883" s="5">
        <v>45930.0</v>
      </c>
      <c r="C883" s="4" t="s">
        <v>69</v>
      </c>
      <c r="D883" s="4" t="s">
        <v>19</v>
      </c>
      <c r="E883" s="4" t="s">
        <v>15</v>
      </c>
      <c r="F883" s="4" t="s">
        <v>171</v>
      </c>
      <c r="G883" s="4">
        <v>2.0</v>
      </c>
      <c r="H883" s="6">
        <v>16180.36</v>
      </c>
      <c r="I883" s="6">
        <v>32360.72</v>
      </c>
      <c r="J883" s="6">
        <v>28304.77</v>
      </c>
      <c r="K883" s="6">
        <v>4055.95</v>
      </c>
      <c r="L883" s="4" t="str">
        <f t="shared" si="1"/>
        <v>Sep-2025</v>
      </c>
    </row>
    <row r="884" ht="15.75" customHeight="1">
      <c r="A884" s="4" t="s">
        <v>1200</v>
      </c>
      <c r="B884" s="5">
        <v>45931.0</v>
      </c>
      <c r="C884" s="4" t="s">
        <v>28</v>
      </c>
      <c r="D884" s="4" t="s">
        <v>14</v>
      </c>
      <c r="E884" s="4" t="s">
        <v>25</v>
      </c>
      <c r="F884" s="4" t="s">
        <v>418</v>
      </c>
      <c r="G884" s="4">
        <v>3.0</v>
      </c>
      <c r="H884" s="6">
        <v>625.89</v>
      </c>
      <c r="I884" s="6">
        <v>1877.67</v>
      </c>
      <c r="J884" s="6">
        <v>1537.83</v>
      </c>
      <c r="K884" s="6">
        <v>339.84</v>
      </c>
      <c r="L884" s="4" t="str">
        <f t="shared" si="1"/>
        <v>Oct-2025</v>
      </c>
    </row>
    <row r="885" ht="15.75" customHeight="1">
      <c r="A885" s="4" t="s">
        <v>1201</v>
      </c>
      <c r="B885" s="5">
        <v>45932.0</v>
      </c>
      <c r="C885" s="4" t="s">
        <v>102</v>
      </c>
      <c r="D885" s="4" t="s">
        <v>24</v>
      </c>
      <c r="E885" s="4" t="s">
        <v>20</v>
      </c>
      <c r="F885" s="4" t="s">
        <v>90</v>
      </c>
      <c r="G885" s="4">
        <v>4.0</v>
      </c>
      <c r="H885" s="6">
        <v>7255.15</v>
      </c>
      <c r="I885" s="6">
        <v>29020.6</v>
      </c>
      <c r="J885" s="6">
        <v>23746.4</v>
      </c>
      <c r="K885" s="6">
        <v>5274.2</v>
      </c>
      <c r="L885" s="4" t="str">
        <f t="shared" si="1"/>
        <v>Oct-2025</v>
      </c>
    </row>
    <row r="886" ht="15.75" customHeight="1">
      <c r="A886" s="4" t="s">
        <v>1202</v>
      </c>
      <c r="B886" s="5">
        <v>45932.0</v>
      </c>
      <c r="C886" s="4" t="s">
        <v>28</v>
      </c>
      <c r="D886" s="4" t="s">
        <v>14</v>
      </c>
      <c r="E886" s="4" t="s">
        <v>20</v>
      </c>
      <c r="F886" s="4" t="s">
        <v>954</v>
      </c>
      <c r="G886" s="4">
        <v>5.0</v>
      </c>
      <c r="H886" s="6">
        <v>1217.88</v>
      </c>
      <c r="I886" s="6">
        <v>6089.4</v>
      </c>
      <c r="J886" s="6">
        <v>5021.49</v>
      </c>
      <c r="K886" s="6">
        <v>1067.91</v>
      </c>
      <c r="L886" s="4" t="str">
        <f t="shared" si="1"/>
        <v>Oct-2025</v>
      </c>
    </row>
    <row r="887" ht="15.75" customHeight="1">
      <c r="A887" s="4" t="s">
        <v>1203</v>
      </c>
      <c r="B887" s="5">
        <v>45933.0</v>
      </c>
      <c r="C887" s="4" t="s">
        <v>180</v>
      </c>
      <c r="D887" s="4" t="s">
        <v>19</v>
      </c>
      <c r="E887" s="4" t="s">
        <v>15</v>
      </c>
      <c r="F887" s="4" t="s">
        <v>673</v>
      </c>
      <c r="G887" s="4">
        <v>4.0</v>
      </c>
      <c r="H887" s="6">
        <v>53242.87</v>
      </c>
      <c r="I887" s="6">
        <v>212971.48</v>
      </c>
      <c r="J887" s="6">
        <v>191664.74</v>
      </c>
      <c r="K887" s="6">
        <v>21306.74</v>
      </c>
      <c r="L887" s="4" t="str">
        <f t="shared" si="1"/>
        <v>Oct-2025</v>
      </c>
    </row>
    <row r="888" ht="15.75" customHeight="1">
      <c r="A888" s="4" t="s">
        <v>1204</v>
      </c>
      <c r="B888" s="5">
        <v>45933.0</v>
      </c>
      <c r="C888" s="4" t="s">
        <v>38</v>
      </c>
      <c r="D888" s="4" t="s">
        <v>19</v>
      </c>
      <c r="E888" s="4" t="s">
        <v>20</v>
      </c>
      <c r="F888" s="4" t="s">
        <v>641</v>
      </c>
      <c r="G888" s="4">
        <v>2.0</v>
      </c>
      <c r="H888" s="6">
        <v>6351.73</v>
      </c>
      <c r="I888" s="6">
        <v>12703.46</v>
      </c>
      <c r="J888" s="6">
        <v>11018.79</v>
      </c>
      <c r="K888" s="6">
        <v>1684.67</v>
      </c>
      <c r="L888" s="4" t="str">
        <f t="shared" si="1"/>
        <v>Oct-2025</v>
      </c>
    </row>
    <row r="889" ht="15.75" customHeight="1">
      <c r="A889" s="4" t="s">
        <v>1205</v>
      </c>
      <c r="B889" s="5">
        <v>45933.0</v>
      </c>
      <c r="C889" s="4" t="s">
        <v>28</v>
      </c>
      <c r="D889" s="4" t="s">
        <v>14</v>
      </c>
      <c r="E889" s="4" t="s">
        <v>20</v>
      </c>
      <c r="F889" s="4" t="s">
        <v>158</v>
      </c>
      <c r="G889" s="4">
        <v>3.0</v>
      </c>
      <c r="H889" s="6">
        <v>703.34</v>
      </c>
      <c r="I889" s="6">
        <v>2110.02</v>
      </c>
      <c r="J889" s="6">
        <v>1656.1</v>
      </c>
      <c r="K889" s="6">
        <v>453.92</v>
      </c>
      <c r="L889" s="4" t="str">
        <f t="shared" si="1"/>
        <v>Oct-2025</v>
      </c>
    </row>
    <row r="890" ht="15.75" customHeight="1">
      <c r="A890" s="4" t="s">
        <v>1206</v>
      </c>
      <c r="B890" s="5">
        <v>45934.0</v>
      </c>
      <c r="C890" s="4" t="s">
        <v>50</v>
      </c>
      <c r="D890" s="4" t="s">
        <v>42</v>
      </c>
      <c r="E890" s="4" t="s">
        <v>29</v>
      </c>
      <c r="F890" s="4" t="s">
        <v>446</v>
      </c>
      <c r="G890" s="4">
        <v>7.0</v>
      </c>
      <c r="H890" s="6">
        <v>2491.94</v>
      </c>
      <c r="I890" s="6">
        <v>17443.58</v>
      </c>
      <c r="J890" s="6">
        <v>15025.05</v>
      </c>
      <c r="K890" s="6">
        <v>2418.53</v>
      </c>
      <c r="L890" s="4" t="str">
        <f t="shared" si="1"/>
        <v>Oct-2025</v>
      </c>
    </row>
    <row r="891" ht="15.75" customHeight="1">
      <c r="A891" s="4" t="s">
        <v>1207</v>
      </c>
      <c r="B891" s="5">
        <v>45934.0</v>
      </c>
      <c r="C891" s="4" t="s">
        <v>47</v>
      </c>
      <c r="D891" s="4" t="s">
        <v>14</v>
      </c>
      <c r="E891" s="4" t="s">
        <v>29</v>
      </c>
      <c r="F891" s="4" t="s">
        <v>16</v>
      </c>
      <c r="G891" s="4">
        <v>3.0</v>
      </c>
      <c r="H891" s="6">
        <v>1486.04</v>
      </c>
      <c r="I891" s="6">
        <v>4458.12</v>
      </c>
      <c r="J891" s="6">
        <v>3777.87</v>
      </c>
      <c r="K891" s="6">
        <v>680.25</v>
      </c>
      <c r="L891" s="4" t="str">
        <f t="shared" si="1"/>
        <v>Oct-2025</v>
      </c>
    </row>
    <row r="892" ht="15.75" customHeight="1">
      <c r="A892" s="4" t="s">
        <v>1208</v>
      </c>
      <c r="B892" s="5">
        <v>45935.0</v>
      </c>
      <c r="C892" s="4" t="s">
        <v>35</v>
      </c>
      <c r="D892" s="4" t="s">
        <v>14</v>
      </c>
      <c r="E892" s="4" t="s">
        <v>15</v>
      </c>
      <c r="F892" s="4" t="s">
        <v>954</v>
      </c>
      <c r="G892" s="4">
        <v>5.0</v>
      </c>
      <c r="H892" s="6">
        <v>275.69</v>
      </c>
      <c r="I892" s="6">
        <v>1378.45</v>
      </c>
      <c r="J892" s="6">
        <v>1145.81</v>
      </c>
      <c r="K892" s="6">
        <v>232.64</v>
      </c>
      <c r="L892" s="4" t="str">
        <f t="shared" si="1"/>
        <v>Oct-2025</v>
      </c>
    </row>
    <row r="893" ht="15.75" customHeight="1">
      <c r="A893" s="4" t="s">
        <v>1209</v>
      </c>
      <c r="B893" s="5">
        <v>45935.0</v>
      </c>
      <c r="C893" s="4" t="s">
        <v>32</v>
      </c>
      <c r="D893" s="4" t="s">
        <v>19</v>
      </c>
      <c r="E893" s="4" t="s">
        <v>15</v>
      </c>
      <c r="F893" s="4" t="s">
        <v>217</v>
      </c>
      <c r="G893" s="4">
        <v>5.0</v>
      </c>
      <c r="H893" s="6">
        <v>55962.04</v>
      </c>
      <c r="I893" s="6">
        <v>279810.2</v>
      </c>
      <c r="J893" s="6">
        <v>236878.12</v>
      </c>
      <c r="K893" s="6">
        <v>42932.08</v>
      </c>
      <c r="L893" s="4" t="str">
        <f t="shared" si="1"/>
        <v>Oct-2025</v>
      </c>
    </row>
    <row r="894" ht="15.75" customHeight="1">
      <c r="A894" s="4" t="s">
        <v>1210</v>
      </c>
      <c r="B894" s="5">
        <v>45935.0</v>
      </c>
      <c r="C894" s="4" t="s">
        <v>18</v>
      </c>
      <c r="D894" s="4" t="s">
        <v>19</v>
      </c>
      <c r="E894" s="4" t="s">
        <v>20</v>
      </c>
      <c r="F894" s="4" t="s">
        <v>566</v>
      </c>
      <c r="G894" s="4">
        <v>6.0</v>
      </c>
      <c r="H894" s="6">
        <v>12321.52</v>
      </c>
      <c r="I894" s="6">
        <v>73929.12</v>
      </c>
      <c r="J894" s="6">
        <v>61013.02</v>
      </c>
      <c r="K894" s="6">
        <v>12916.1</v>
      </c>
      <c r="L894" s="4" t="str">
        <f t="shared" si="1"/>
        <v>Oct-2025</v>
      </c>
    </row>
    <row r="895" ht="15.75" customHeight="1">
      <c r="A895" s="4" t="s">
        <v>1211</v>
      </c>
      <c r="B895" s="5">
        <v>45935.0</v>
      </c>
      <c r="C895" s="4" t="s">
        <v>28</v>
      </c>
      <c r="D895" s="4" t="s">
        <v>14</v>
      </c>
      <c r="E895" s="4" t="s">
        <v>25</v>
      </c>
      <c r="F895" s="4" t="s">
        <v>656</v>
      </c>
      <c r="G895" s="4">
        <v>3.0</v>
      </c>
      <c r="H895" s="6">
        <v>1102.16</v>
      </c>
      <c r="I895" s="6">
        <v>3306.48</v>
      </c>
      <c r="J895" s="6">
        <v>2334.3</v>
      </c>
      <c r="K895" s="6">
        <v>972.18</v>
      </c>
      <c r="L895" s="4" t="str">
        <f t="shared" si="1"/>
        <v>Oct-2025</v>
      </c>
    </row>
    <row r="896" ht="15.75" customHeight="1">
      <c r="A896" s="4" t="s">
        <v>1212</v>
      </c>
      <c r="B896" s="5">
        <v>45936.0</v>
      </c>
      <c r="C896" s="4" t="s">
        <v>61</v>
      </c>
      <c r="D896" s="4" t="s">
        <v>19</v>
      </c>
      <c r="E896" s="4" t="s">
        <v>29</v>
      </c>
      <c r="F896" s="4" t="s">
        <v>53</v>
      </c>
      <c r="G896" s="4">
        <v>6.0</v>
      </c>
      <c r="H896" s="6">
        <v>63543.84</v>
      </c>
      <c r="I896" s="6">
        <v>381263.04</v>
      </c>
      <c r="J896" s="6">
        <v>319079.37</v>
      </c>
      <c r="K896" s="6">
        <v>62183.67</v>
      </c>
      <c r="L896" s="4" t="str">
        <f t="shared" si="1"/>
        <v>Oct-2025</v>
      </c>
    </row>
    <row r="897" ht="15.75" customHeight="1">
      <c r="A897" s="4" t="s">
        <v>1213</v>
      </c>
      <c r="B897" s="5">
        <v>45936.0</v>
      </c>
      <c r="C897" s="4" t="s">
        <v>180</v>
      </c>
      <c r="D897" s="4" t="s">
        <v>19</v>
      </c>
      <c r="E897" s="4" t="s">
        <v>25</v>
      </c>
      <c r="F897" s="4" t="s">
        <v>450</v>
      </c>
      <c r="G897" s="4">
        <v>1.0</v>
      </c>
      <c r="H897" s="6">
        <v>27417.54</v>
      </c>
      <c r="I897" s="6">
        <v>27417.54</v>
      </c>
      <c r="J897" s="6">
        <v>23482.79</v>
      </c>
      <c r="K897" s="6">
        <v>3934.75</v>
      </c>
      <c r="L897" s="4" t="str">
        <f t="shared" si="1"/>
        <v>Oct-2025</v>
      </c>
    </row>
    <row r="898" ht="15.75" customHeight="1">
      <c r="A898" s="4" t="s">
        <v>1214</v>
      </c>
      <c r="B898" s="5">
        <v>45936.0</v>
      </c>
      <c r="C898" s="4" t="s">
        <v>23</v>
      </c>
      <c r="D898" s="4" t="s">
        <v>24</v>
      </c>
      <c r="E898" s="4" t="s">
        <v>25</v>
      </c>
      <c r="F898" s="4" t="s">
        <v>325</v>
      </c>
      <c r="G898" s="4">
        <v>2.0</v>
      </c>
      <c r="H898" s="6">
        <v>3159.04</v>
      </c>
      <c r="I898" s="6">
        <v>6318.08</v>
      </c>
      <c r="J898" s="6">
        <v>5504.63</v>
      </c>
      <c r="K898" s="6">
        <v>813.45</v>
      </c>
      <c r="L898" s="4" t="str">
        <f t="shared" si="1"/>
        <v>Oct-2025</v>
      </c>
    </row>
    <row r="899" ht="15.75" customHeight="1">
      <c r="A899" s="4" t="s">
        <v>1215</v>
      </c>
      <c r="B899" s="5">
        <v>45936.0</v>
      </c>
      <c r="C899" s="4" t="s">
        <v>32</v>
      </c>
      <c r="D899" s="4" t="s">
        <v>19</v>
      </c>
      <c r="E899" s="4" t="s">
        <v>29</v>
      </c>
      <c r="F899" s="4" t="s">
        <v>557</v>
      </c>
      <c r="G899" s="4">
        <v>2.0</v>
      </c>
      <c r="H899" s="6">
        <v>7730.87</v>
      </c>
      <c r="I899" s="6">
        <v>15461.74</v>
      </c>
      <c r="J899" s="6">
        <v>13406.43</v>
      </c>
      <c r="K899" s="6">
        <v>2055.31</v>
      </c>
      <c r="L899" s="4" t="str">
        <f t="shared" si="1"/>
        <v>Oct-2025</v>
      </c>
    </row>
    <row r="900" ht="15.75" customHeight="1">
      <c r="A900" s="4" t="s">
        <v>1216</v>
      </c>
      <c r="B900" s="5">
        <v>45937.0</v>
      </c>
      <c r="C900" s="4" t="s">
        <v>180</v>
      </c>
      <c r="D900" s="4" t="s">
        <v>19</v>
      </c>
      <c r="E900" s="4" t="s">
        <v>20</v>
      </c>
      <c r="F900" s="4" t="s">
        <v>891</v>
      </c>
      <c r="G900" s="4">
        <v>7.0</v>
      </c>
      <c r="H900" s="6">
        <v>962.06</v>
      </c>
      <c r="I900" s="6">
        <v>6734.42</v>
      </c>
      <c r="J900" s="6">
        <v>5679.54</v>
      </c>
      <c r="K900" s="6">
        <v>1054.88</v>
      </c>
      <c r="L900" s="4" t="str">
        <f t="shared" si="1"/>
        <v>Oct-2025</v>
      </c>
    </row>
    <row r="901" ht="15.75" customHeight="1">
      <c r="A901" s="4" t="s">
        <v>1217</v>
      </c>
      <c r="B901" s="5">
        <v>45937.0</v>
      </c>
      <c r="C901" s="4" t="s">
        <v>23</v>
      </c>
      <c r="D901" s="4" t="s">
        <v>24</v>
      </c>
      <c r="E901" s="4" t="s">
        <v>15</v>
      </c>
      <c r="F901" s="4" t="s">
        <v>334</v>
      </c>
      <c r="G901" s="4">
        <v>2.0</v>
      </c>
      <c r="H901" s="6">
        <v>16306.71</v>
      </c>
      <c r="I901" s="6">
        <v>32613.42</v>
      </c>
      <c r="J901" s="6">
        <v>23843.48</v>
      </c>
      <c r="K901" s="6">
        <v>8769.94</v>
      </c>
      <c r="L901" s="4" t="str">
        <f t="shared" si="1"/>
        <v>Oct-2025</v>
      </c>
    </row>
    <row r="902" ht="15.75" customHeight="1">
      <c r="A902" s="4" t="s">
        <v>1218</v>
      </c>
      <c r="B902" s="5">
        <v>45937.0</v>
      </c>
      <c r="C902" s="2" t="s">
        <v>258</v>
      </c>
      <c r="D902" s="4" t="s">
        <v>14</v>
      </c>
      <c r="E902" s="4" t="s">
        <v>29</v>
      </c>
      <c r="F902" s="4" t="s">
        <v>270</v>
      </c>
      <c r="G902" s="4">
        <v>4.0</v>
      </c>
      <c r="H902" s="6">
        <v>304.62</v>
      </c>
      <c r="I902" s="6">
        <v>1218.48</v>
      </c>
      <c r="J902" s="6">
        <v>961.59</v>
      </c>
      <c r="K902" s="6">
        <v>256.89</v>
      </c>
      <c r="L902" s="4" t="str">
        <f t="shared" si="1"/>
        <v>Oct-2025</v>
      </c>
    </row>
    <row r="903" ht="15.75" customHeight="1">
      <c r="A903" s="4" t="s">
        <v>1219</v>
      </c>
      <c r="B903" s="5">
        <v>45937.0</v>
      </c>
      <c r="C903" s="4" t="s">
        <v>92</v>
      </c>
      <c r="D903" s="4" t="s">
        <v>14</v>
      </c>
      <c r="E903" s="4" t="s">
        <v>25</v>
      </c>
      <c r="F903" s="4" t="s">
        <v>444</v>
      </c>
      <c r="G903" s="4">
        <v>4.0</v>
      </c>
      <c r="H903" s="6">
        <v>996.27</v>
      </c>
      <c r="I903" s="6">
        <v>3985.08</v>
      </c>
      <c r="J903" s="6">
        <v>3167.34</v>
      </c>
      <c r="K903" s="6">
        <v>817.74</v>
      </c>
      <c r="L903" s="4" t="str">
        <f t="shared" si="1"/>
        <v>Oct-2025</v>
      </c>
    </row>
    <row r="904" ht="15.75" customHeight="1">
      <c r="A904" s="4" t="s">
        <v>1220</v>
      </c>
      <c r="B904" s="5">
        <v>45937.0</v>
      </c>
      <c r="C904" s="4" t="s">
        <v>13</v>
      </c>
      <c r="D904" s="4" t="s">
        <v>14</v>
      </c>
      <c r="E904" s="4" t="s">
        <v>20</v>
      </c>
      <c r="F904" s="4" t="s">
        <v>673</v>
      </c>
      <c r="G904" s="4">
        <v>3.0</v>
      </c>
      <c r="H904" s="6">
        <v>924.67</v>
      </c>
      <c r="I904" s="6">
        <v>2774.01</v>
      </c>
      <c r="J904" s="6">
        <v>1993.55</v>
      </c>
      <c r="K904" s="6">
        <v>780.46</v>
      </c>
      <c r="L904" s="4" t="str">
        <f t="shared" si="1"/>
        <v>Oct-2025</v>
      </c>
    </row>
    <row r="905" ht="15.75" customHeight="1">
      <c r="A905" s="4" t="s">
        <v>1221</v>
      </c>
      <c r="B905" s="5">
        <v>45937.0</v>
      </c>
      <c r="C905" s="4" t="s">
        <v>155</v>
      </c>
      <c r="D905" s="4" t="s">
        <v>24</v>
      </c>
      <c r="E905" s="4" t="s">
        <v>25</v>
      </c>
      <c r="F905" s="4" t="s">
        <v>223</v>
      </c>
      <c r="G905" s="4">
        <v>6.0</v>
      </c>
      <c r="H905" s="6">
        <v>17963.93</v>
      </c>
      <c r="I905" s="6">
        <v>107783.58</v>
      </c>
      <c r="J905" s="6">
        <v>82360.37</v>
      </c>
      <c r="K905" s="6">
        <v>25423.21</v>
      </c>
      <c r="L905" s="4" t="str">
        <f t="shared" si="1"/>
        <v>Oct-2025</v>
      </c>
    </row>
    <row r="906" ht="15.75" customHeight="1">
      <c r="A906" s="4" t="s">
        <v>1222</v>
      </c>
      <c r="B906" s="5">
        <v>45937.0</v>
      </c>
      <c r="C906" s="4" t="s">
        <v>61</v>
      </c>
      <c r="D906" s="4" t="s">
        <v>19</v>
      </c>
      <c r="E906" s="4" t="s">
        <v>25</v>
      </c>
      <c r="F906" s="4" t="s">
        <v>705</v>
      </c>
      <c r="G906" s="4">
        <v>7.0</v>
      </c>
      <c r="H906" s="6">
        <v>35787.71</v>
      </c>
      <c r="I906" s="6">
        <v>250513.97</v>
      </c>
      <c r="J906" s="6">
        <v>214142.36</v>
      </c>
      <c r="K906" s="6">
        <v>36371.61</v>
      </c>
      <c r="L906" s="4" t="str">
        <f t="shared" si="1"/>
        <v>Oct-2025</v>
      </c>
    </row>
    <row r="907" ht="15.75" customHeight="1">
      <c r="A907" s="4" t="s">
        <v>1223</v>
      </c>
      <c r="B907" s="5">
        <v>45938.0</v>
      </c>
      <c r="C907" s="4" t="s">
        <v>32</v>
      </c>
      <c r="D907" s="4" t="s">
        <v>19</v>
      </c>
      <c r="E907" s="4" t="s">
        <v>29</v>
      </c>
      <c r="F907" s="4" t="s">
        <v>735</v>
      </c>
      <c r="G907" s="4">
        <v>2.0</v>
      </c>
      <c r="H907" s="6">
        <v>6691.97</v>
      </c>
      <c r="I907" s="6">
        <v>13383.94</v>
      </c>
      <c r="J907" s="6">
        <v>11138.39</v>
      </c>
      <c r="K907" s="6">
        <v>2245.55</v>
      </c>
      <c r="L907" s="4" t="str">
        <f t="shared" si="1"/>
        <v>Oct-2025</v>
      </c>
    </row>
    <row r="908" ht="15.75" customHeight="1">
      <c r="A908" s="4" t="s">
        <v>1224</v>
      </c>
      <c r="B908" s="5">
        <v>45938.0</v>
      </c>
      <c r="C908" s="4" t="s">
        <v>102</v>
      </c>
      <c r="D908" s="4" t="s">
        <v>24</v>
      </c>
      <c r="E908" s="4" t="s">
        <v>15</v>
      </c>
      <c r="F908" s="4" t="s">
        <v>1225</v>
      </c>
      <c r="G908" s="4">
        <v>7.0</v>
      </c>
      <c r="H908" s="6">
        <v>17044.18</v>
      </c>
      <c r="I908" s="6">
        <v>119309.26</v>
      </c>
      <c r="J908" s="6">
        <v>98464.8</v>
      </c>
      <c r="K908" s="6">
        <v>20844.46</v>
      </c>
      <c r="L908" s="4" t="str">
        <f t="shared" si="1"/>
        <v>Oct-2025</v>
      </c>
    </row>
    <row r="909" ht="15.75" customHeight="1">
      <c r="A909" s="4" t="s">
        <v>1226</v>
      </c>
      <c r="B909" s="5">
        <v>45938.0</v>
      </c>
      <c r="C909" s="4" t="s">
        <v>35</v>
      </c>
      <c r="D909" s="4" t="s">
        <v>14</v>
      </c>
      <c r="E909" s="4" t="s">
        <v>25</v>
      </c>
      <c r="F909" s="4" t="s">
        <v>478</v>
      </c>
      <c r="G909" s="4">
        <v>4.0</v>
      </c>
      <c r="H909" s="6">
        <v>345.13</v>
      </c>
      <c r="I909" s="6">
        <v>1380.52</v>
      </c>
      <c r="J909" s="6">
        <v>1071.65</v>
      </c>
      <c r="K909" s="6">
        <v>308.87</v>
      </c>
      <c r="L909" s="4" t="str">
        <f t="shared" si="1"/>
        <v>Oct-2025</v>
      </c>
    </row>
    <row r="910" ht="15.75" customHeight="1">
      <c r="A910" s="4" t="s">
        <v>1227</v>
      </c>
      <c r="B910" s="5">
        <v>45938.0</v>
      </c>
      <c r="C910" s="4" t="s">
        <v>18</v>
      </c>
      <c r="D910" s="4" t="s">
        <v>19</v>
      </c>
      <c r="E910" s="4" t="s">
        <v>25</v>
      </c>
      <c r="F910" s="4" t="s">
        <v>643</v>
      </c>
      <c r="G910" s="4">
        <v>3.0</v>
      </c>
      <c r="H910" s="6">
        <v>64526.05</v>
      </c>
      <c r="I910" s="6">
        <v>193578.15</v>
      </c>
      <c r="J910" s="6">
        <v>163483.57</v>
      </c>
      <c r="K910" s="6">
        <v>30094.58</v>
      </c>
      <c r="L910" s="4" t="str">
        <f t="shared" si="1"/>
        <v>Oct-2025</v>
      </c>
    </row>
    <row r="911" ht="15.75" customHeight="1">
      <c r="A911" s="4" t="s">
        <v>1228</v>
      </c>
      <c r="B911" s="5">
        <v>45939.0</v>
      </c>
      <c r="C911" s="4" t="s">
        <v>180</v>
      </c>
      <c r="D911" s="4" t="s">
        <v>19</v>
      </c>
      <c r="E911" s="4" t="s">
        <v>25</v>
      </c>
      <c r="F911" s="4" t="s">
        <v>359</v>
      </c>
      <c r="G911" s="4">
        <v>3.0</v>
      </c>
      <c r="H911" s="6">
        <v>74193.1</v>
      </c>
      <c r="I911" s="6">
        <v>222579.3</v>
      </c>
      <c r="J911" s="6">
        <v>197693.67</v>
      </c>
      <c r="K911" s="6">
        <v>24885.63</v>
      </c>
      <c r="L911" s="4" t="str">
        <f t="shared" si="1"/>
        <v>Oct-2025</v>
      </c>
    </row>
    <row r="912" ht="15.75" customHeight="1">
      <c r="A912" s="4" t="s">
        <v>1229</v>
      </c>
      <c r="B912" s="5">
        <v>45939.0</v>
      </c>
      <c r="C912" s="4" t="s">
        <v>69</v>
      </c>
      <c r="D912" s="4" t="s">
        <v>19</v>
      </c>
      <c r="E912" s="4" t="s">
        <v>29</v>
      </c>
      <c r="F912" s="4" t="s">
        <v>256</v>
      </c>
      <c r="G912" s="4">
        <v>6.0</v>
      </c>
      <c r="H912" s="6">
        <v>47826.4</v>
      </c>
      <c r="I912" s="6">
        <v>286958.4</v>
      </c>
      <c r="J912" s="6">
        <v>233694.4</v>
      </c>
      <c r="K912" s="6">
        <v>53264.0</v>
      </c>
      <c r="L912" s="4" t="str">
        <f t="shared" si="1"/>
        <v>Oct-2025</v>
      </c>
    </row>
    <row r="913" ht="15.75" customHeight="1">
      <c r="A913" s="4" t="s">
        <v>1230</v>
      </c>
      <c r="B913" s="5">
        <v>45939.0</v>
      </c>
      <c r="C913" s="4" t="s">
        <v>140</v>
      </c>
      <c r="D913" s="4" t="s">
        <v>14</v>
      </c>
      <c r="E913" s="4" t="s">
        <v>25</v>
      </c>
      <c r="F913" s="4" t="s">
        <v>561</v>
      </c>
      <c r="G913" s="4">
        <v>4.0</v>
      </c>
      <c r="H913" s="6">
        <v>890.95</v>
      </c>
      <c r="I913" s="6">
        <v>3563.8</v>
      </c>
      <c r="J913" s="6">
        <v>2721.83</v>
      </c>
      <c r="K913" s="6">
        <v>841.97</v>
      </c>
      <c r="L913" s="4" t="str">
        <f t="shared" si="1"/>
        <v>Oct-2025</v>
      </c>
    </row>
    <row r="914" ht="15.75" customHeight="1">
      <c r="A914" s="4" t="s">
        <v>1231</v>
      </c>
      <c r="B914" s="5">
        <v>45939.0</v>
      </c>
      <c r="C914" s="4" t="s">
        <v>102</v>
      </c>
      <c r="D914" s="4" t="s">
        <v>24</v>
      </c>
      <c r="E914" s="4" t="s">
        <v>20</v>
      </c>
      <c r="F914" s="4" t="s">
        <v>186</v>
      </c>
      <c r="G914" s="4">
        <v>7.0</v>
      </c>
      <c r="H914" s="6">
        <v>4587.33</v>
      </c>
      <c r="I914" s="6">
        <v>32111.31</v>
      </c>
      <c r="J914" s="6">
        <v>27802.97</v>
      </c>
      <c r="K914" s="6">
        <v>4308.34</v>
      </c>
      <c r="L914" s="4" t="str">
        <f t="shared" si="1"/>
        <v>Oct-2025</v>
      </c>
    </row>
    <row r="915" ht="15.75" customHeight="1">
      <c r="A915" s="4" t="s">
        <v>1232</v>
      </c>
      <c r="B915" s="5">
        <v>45939.0</v>
      </c>
      <c r="C915" s="4" t="s">
        <v>180</v>
      </c>
      <c r="D915" s="4" t="s">
        <v>19</v>
      </c>
      <c r="E915" s="4" t="s">
        <v>25</v>
      </c>
      <c r="F915" s="4" t="s">
        <v>346</v>
      </c>
      <c r="G915" s="4">
        <v>3.0</v>
      </c>
      <c r="H915" s="6">
        <v>51031.68</v>
      </c>
      <c r="I915" s="6">
        <v>153095.04</v>
      </c>
      <c r="J915" s="6">
        <v>131712.42</v>
      </c>
      <c r="K915" s="6">
        <v>21382.62</v>
      </c>
      <c r="L915" s="4" t="str">
        <f t="shared" si="1"/>
        <v>Oct-2025</v>
      </c>
    </row>
    <row r="916" ht="15.75" customHeight="1">
      <c r="A916" s="4" t="s">
        <v>1233</v>
      </c>
      <c r="B916" s="5">
        <v>45939.0</v>
      </c>
      <c r="C916" s="4" t="s">
        <v>23</v>
      </c>
      <c r="D916" s="4" t="s">
        <v>24</v>
      </c>
      <c r="E916" s="4" t="s">
        <v>29</v>
      </c>
      <c r="F916" s="4" t="s">
        <v>197</v>
      </c>
      <c r="G916" s="4">
        <v>2.0</v>
      </c>
      <c r="H916" s="6">
        <v>8989.85</v>
      </c>
      <c r="I916" s="6">
        <v>17979.7</v>
      </c>
      <c r="J916" s="6">
        <v>14840.45</v>
      </c>
      <c r="K916" s="6">
        <v>3139.25</v>
      </c>
      <c r="L916" s="4" t="str">
        <f t="shared" si="1"/>
        <v>Oct-2025</v>
      </c>
    </row>
    <row r="917" ht="15.75" customHeight="1">
      <c r="A917" s="4" t="s">
        <v>1234</v>
      </c>
      <c r="B917" s="5">
        <v>45939.0</v>
      </c>
      <c r="C917" s="4" t="s">
        <v>38</v>
      </c>
      <c r="D917" s="4" t="s">
        <v>19</v>
      </c>
      <c r="E917" s="4" t="s">
        <v>20</v>
      </c>
      <c r="F917" s="4" t="s">
        <v>481</v>
      </c>
      <c r="G917" s="4">
        <v>3.0</v>
      </c>
      <c r="H917" s="6">
        <v>22221.08</v>
      </c>
      <c r="I917" s="6">
        <v>66663.24</v>
      </c>
      <c r="J917" s="6">
        <v>58484.95</v>
      </c>
      <c r="K917" s="6">
        <v>8178.29</v>
      </c>
      <c r="L917" s="4" t="str">
        <f t="shared" si="1"/>
        <v>Oct-2025</v>
      </c>
    </row>
    <row r="918" ht="15.75" customHeight="1">
      <c r="A918" s="4" t="s">
        <v>1235</v>
      </c>
      <c r="B918" s="5">
        <v>45940.0</v>
      </c>
      <c r="C918" s="4" t="s">
        <v>155</v>
      </c>
      <c r="D918" s="4" t="s">
        <v>24</v>
      </c>
      <c r="E918" s="4" t="s">
        <v>15</v>
      </c>
      <c r="F918" s="4" t="s">
        <v>448</v>
      </c>
      <c r="G918" s="4">
        <v>1.0</v>
      </c>
      <c r="H918" s="6">
        <v>8808.39</v>
      </c>
      <c r="I918" s="6">
        <v>8808.39</v>
      </c>
      <c r="J918" s="6">
        <v>7366.06</v>
      </c>
      <c r="K918" s="6">
        <v>1442.33</v>
      </c>
      <c r="L918" s="4" t="str">
        <f t="shared" si="1"/>
        <v>Oct-2025</v>
      </c>
    </row>
    <row r="919" ht="15.75" customHeight="1">
      <c r="A919" s="4" t="s">
        <v>1236</v>
      </c>
      <c r="B919" s="5">
        <v>45940.0</v>
      </c>
      <c r="C919" s="4" t="s">
        <v>18</v>
      </c>
      <c r="D919" s="4" t="s">
        <v>19</v>
      </c>
      <c r="E919" s="4" t="s">
        <v>15</v>
      </c>
      <c r="F919" s="4" t="s">
        <v>497</v>
      </c>
      <c r="G919" s="4">
        <v>5.0</v>
      </c>
      <c r="H919" s="6">
        <v>38888.8</v>
      </c>
      <c r="I919" s="6">
        <v>194444.0</v>
      </c>
      <c r="J919" s="6">
        <v>173446.5</v>
      </c>
      <c r="K919" s="6">
        <v>20997.5</v>
      </c>
      <c r="L919" s="4" t="str">
        <f t="shared" si="1"/>
        <v>Oct-2025</v>
      </c>
    </row>
    <row r="920" ht="15.75" customHeight="1">
      <c r="A920" s="4" t="s">
        <v>1237</v>
      </c>
      <c r="B920" s="5">
        <v>45940.0</v>
      </c>
      <c r="C920" s="4" t="s">
        <v>69</v>
      </c>
      <c r="D920" s="4" t="s">
        <v>19</v>
      </c>
      <c r="E920" s="4" t="s">
        <v>29</v>
      </c>
      <c r="F920" s="4" t="s">
        <v>962</v>
      </c>
      <c r="G920" s="4">
        <v>7.0</v>
      </c>
      <c r="H920" s="6">
        <v>23303.81</v>
      </c>
      <c r="I920" s="6">
        <v>163126.67</v>
      </c>
      <c r="J920" s="6">
        <v>131821.59</v>
      </c>
      <c r="K920" s="6">
        <v>31305.08</v>
      </c>
      <c r="L920" s="4" t="str">
        <f t="shared" si="1"/>
        <v>Oct-2025</v>
      </c>
    </row>
    <row r="921" ht="15.75" customHeight="1">
      <c r="A921" s="4" t="s">
        <v>1238</v>
      </c>
      <c r="B921" s="5">
        <v>45940.0</v>
      </c>
      <c r="C921" s="4" t="s">
        <v>35</v>
      </c>
      <c r="D921" s="4" t="s">
        <v>14</v>
      </c>
      <c r="E921" s="4" t="s">
        <v>20</v>
      </c>
      <c r="F921" s="4" t="s">
        <v>735</v>
      </c>
      <c r="G921" s="4">
        <v>7.0</v>
      </c>
      <c r="H921" s="6">
        <v>720.47</v>
      </c>
      <c r="I921" s="6">
        <v>5043.29</v>
      </c>
      <c r="J921" s="6">
        <v>3671.97</v>
      </c>
      <c r="K921" s="6">
        <v>1371.32</v>
      </c>
      <c r="L921" s="4" t="str">
        <f t="shared" si="1"/>
        <v>Oct-2025</v>
      </c>
    </row>
    <row r="922" ht="15.75" customHeight="1">
      <c r="A922" s="4" t="s">
        <v>1239</v>
      </c>
      <c r="B922" s="5">
        <v>45940.0</v>
      </c>
      <c r="C922" s="4" t="s">
        <v>32</v>
      </c>
      <c r="D922" s="4" t="s">
        <v>19</v>
      </c>
      <c r="E922" s="4" t="s">
        <v>15</v>
      </c>
      <c r="F922" s="4" t="s">
        <v>309</v>
      </c>
      <c r="G922" s="4">
        <v>2.0</v>
      </c>
      <c r="H922" s="6">
        <v>57945.74</v>
      </c>
      <c r="I922" s="6">
        <v>115891.48</v>
      </c>
      <c r="J922" s="6">
        <v>95395.07</v>
      </c>
      <c r="K922" s="6">
        <v>20496.41</v>
      </c>
      <c r="L922" s="4" t="str">
        <f t="shared" si="1"/>
        <v>Oct-2025</v>
      </c>
    </row>
    <row r="923" ht="15.75" customHeight="1">
      <c r="A923" s="4" t="s">
        <v>1240</v>
      </c>
      <c r="B923" s="5">
        <v>45940.0</v>
      </c>
      <c r="C923" s="4" t="s">
        <v>61</v>
      </c>
      <c r="D923" s="4" t="s">
        <v>19</v>
      </c>
      <c r="E923" s="4" t="s">
        <v>25</v>
      </c>
      <c r="F923" s="4" t="s">
        <v>195</v>
      </c>
      <c r="G923" s="4">
        <v>4.0</v>
      </c>
      <c r="H923" s="6">
        <v>26960.61</v>
      </c>
      <c r="I923" s="6">
        <v>107842.44</v>
      </c>
      <c r="J923" s="6">
        <v>95270.84</v>
      </c>
      <c r="K923" s="6">
        <v>12571.6</v>
      </c>
      <c r="L923" s="4" t="str">
        <f t="shared" si="1"/>
        <v>Oct-2025</v>
      </c>
    </row>
    <row r="924" ht="15.75" customHeight="1">
      <c r="A924" s="4" t="s">
        <v>1241</v>
      </c>
      <c r="B924" s="5">
        <v>45940.0</v>
      </c>
      <c r="C924" s="4" t="s">
        <v>155</v>
      </c>
      <c r="D924" s="4" t="s">
        <v>24</v>
      </c>
      <c r="E924" s="4" t="s">
        <v>29</v>
      </c>
      <c r="F924" s="4" t="s">
        <v>891</v>
      </c>
      <c r="G924" s="4">
        <v>1.0</v>
      </c>
      <c r="H924" s="6">
        <v>5051.18</v>
      </c>
      <c r="I924" s="6">
        <v>5051.18</v>
      </c>
      <c r="J924" s="6">
        <v>3823.15</v>
      </c>
      <c r="K924" s="6">
        <v>1228.03</v>
      </c>
      <c r="L924" s="4" t="str">
        <f t="shared" si="1"/>
        <v>Oct-2025</v>
      </c>
    </row>
    <row r="925" ht="15.75" customHeight="1">
      <c r="A925" s="4" t="s">
        <v>1242</v>
      </c>
      <c r="B925" s="5">
        <v>45940.0</v>
      </c>
      <c r="C925" s="4" t="s">
        <v>61</v>
      </c>
      <c r="D925" s="4" t="s">
        <v>19</v>
      </c>
      <c r="E925" s="4" t="s">
        <v>25</v>
      </c>
      <c r="F925" s="4" t="s">
        <v>1243</v>
      </c>
      <c r="G925" s="4">
        <v>5.0</v>
      </c>
      <c r="H925" s="6">
        <v>57694.21</v>
      </c>
      <c r="I925" s="6">
        <v>288471.05</v>
      </c>
      <c r="J925" s="6">
        <v>253255.33</v>
      </c>
      <c r="K925" s="6">
        <v>35215.72</v>
      </c>
      <c r="L925" s="4" t="str">
        <f t="shared" si="1"/>
        <v>Oct-2025</v>
      </c>
    </row>
    <row r="926" ht="15.75" customHeight="1">
      <c r="A926" s="4" t="s">
        <v>1244</v>
      </c>
      <c r="B926" s="5">
        <v>45941.0</v>
      </c>
      <c r="C926" s="4" t="s">
        <v>35</v>
      </c>
      <c r="D926" s="4" t="s">
        <v>14</v>
      </c>
      <c r="E926" s="4" t="s">
        <v>29</v>
      </c>
      <c r="F926" s="4" t="s">
        <v>266</v>
      </c>
      <c r="G926" s="4">
        <v>7.0</v>
      </c>
      <c r="H926" s="6">
        <v>288.19</v>
      </c>
      <c r="I926" s="6">
        <v>2017.33</v>
      </c>
      <c r="J926" s="6">
        <v>1487.01</v>
      </c>
      <c r="K926" s="6">
        <v>530.32</v>
      </c>
      <c r="L926" s="4" t="str">
        <f t="shared" si="1"/>
        <v>Oct-2025</v>
      </c>
    </row>
    <row r="927" ht="15.75" customHeight="1">
      <c r="A927" s="4" t="s">
        <v>1245</v>
      </c>
      <c r="B927" s="5">
        <v>45941.0</v>
      </c>
      <c r="C927" s="4" t="s">
        <v>47</v>
      </c>
      <c r="D927" s="4" t="s">
        <v>14</v>
      </c>
      <c r="E927" s="4" t="s">
        <v>29</v>
      </c>
      <c r="F927" s="4" t="s">
        <v>1030</v>
      </c>
      <c r="G927" s="4">
        <v>4.0</v>
      </c>
      <c r="H927" s="6">
        <v>653.94</v>
      </c>
      <c r="I927" s="6">
        <v>2615.76</v>
      </c>
      <c r="J927" s="6">
        <v>2169.11</v>
      </c>
      <c r="K927" s="6">
        <v>446.65</v>
      </c>
      <c r="L927" s="4" t="str">
        <f t="shared" si="1"/>
        <v>Oct-2025</v>
      </c>
    </row>
    <row r="928" ht="15.75" customHeight="1">
      <c r="A928" s="4" t="s">
        <v>1246</v>
      </c>
      <c r="B928" s="5">
        <v>45941.0</v>
      </c>
      <c r="C928" s="4" t="s">
        <v>72</v>
      </c>
      <c r="D928" s="4" t="s">
        <v>24</v>
      </c>
      <c r="E928" s="4" t="s">
        <v>29</v>
      </c>
      <c r="F928" s="4" t="s">
        <v>59</v>
      </c>
      <c r="G928" s="4">
        <v>7.0</v>
      </c>
      <c r="H928" s="6">
        <v>10258.49</v>
      </c>
      <c r="I928" s="6">
        <v>71809.43</v>
      </c>
      <c r="J928" s="6">
        <v>59243.78</v>
      </c>
      <c r="K928" s="6">
        <v>12565.65</v>
      </c>
      <c r="L928" s="4" t="str">
        <f t="shared" si="1"/>
        <v>Oct-2025</v>
      </c>
    </row>
    <row r="929" ht="15.75" customHeight="1">
      <c r="A929" s="4" t="s">
        <v>1247</v>
      </c>
      <c r="B929" s="5">
        <v>45941.0</v>
      </c>
      <c r="C929" s="4" t="s">
        <v>13</v>
      </c>
      <c r="D929" s="4" t="s">
        <v>14</v>
      </c>
      <c r="E929" s="4" t="s">
        <v>15</v>
      </c>
      <c r="F929" s="4" t="s">
        <v>444</v>
      </c>
      <c r="G929" s="4">
        <v>5.0</v>
      </c>
      <c r="H929" s="6">
        <v>895.24</v>
      </c>
      <c r="I929" s="6">
        <v>4476.2</v>
      </c>
      <c r="J929" s="6">
        <v>3076.09</v>
      </c>
      <c r="K929" s="6">
        <v>1400.11</v>
      </c>
      <c r="L929" s="4" t="str">
        <f t="shared" si="1"/>
        <v>Oct-2025</v>
      </c>
    </row>
    <row r="930" ht="15.75" customHeight="1">
      <c r="A930" s="4" t="s">
        <v>1248</v>
      </c>
      <c r="B930" s="5">
        <v>45942.0</v>
      </c>
      <c r="C930" s="4" t="s">
        <v>109</v>
      </c>
      <c r="D930" s="4" t="s">
        <v>42</v>
      </c>
      <c r="E930" s="4" t="s">
        <v>25</v>
      </c>
      <c r="F930" s="4" t="s">
        <v>343</v>
      </c>
      <c r="G930" s="4">
        <v>1.0</v>
      </c>
      <c r="H930" s="6">
        <v>3993.96</v>
      </c>
      <c r="I930" s="6">
        <v>3993.96</v>
      </c>
      <c r="J930" s="6">
        <v>3396.5</v>
      </c>
      <c r="K930" s="6">
        <v>597.46</v>
      </c>
      <c r="L930" s="4" t="str">
        <f t="shared" si="1"/>
        <v>Oct-2025</v>
      </c>
    </row>
    <row r="931" ht="15.75" customHeight="1">
      <c r="A931" s="4" t="s">
        <v>1249</v>
      </c>
      <c r="B931" s="5">
        <v>45942.0</v>
      </c>
      <c r="C931" s="4" t="s">
        <v>75</v>
      </c>
      <c r="D931" s="4" t="s">
        <v>24</v>
      </c>
      <c r="E931" s="4" t="s">
        <v>25</v>
      </c>
      <c r="F931" s="4" t="s">
        <v>1250</v>
      </c>
      <c r="G931" s="4">
        <v>2.0</v>
      </c>
      <c r="H931" s="6">
        <v>4675.65</v>
      </c>
      <c r="I931" s="6">
        <v>9351.3</v>
      </c>
      <c r="J931" s="6">
        <v>7285.7</v>
      </c>
      <c r="K931" s="6">
        <v>2065.6</v>
      </c>
      <c r="L931" s="4" t="str">
        <f t="shared" si="1"/>
        <v>Oct-2025</v>
      </c>
    </row>
    <row r="932" ht="15.75" customHeight="1">
      <c r="A932" s="4" t="s">
        <v>1251</v>
      </c>
      <c r="B932" s="5">
        <v>45942.0</v>
      </c>
      <c r="C932" s="4" t="s">
        <v>140</v>
      </c>
      <c r="D932" s="4" t="s">
        <v>14</v>
      </c>
      <c r="E932" s="4" t="s">
        <v>25</v>
      </c>
      <c r="F932" s="4" t="s">
        <v>507</v>
      </c>
      <c r="G932" s="4">
        <v>5.0</v>
      </c>
      <c r="H932" s="6">
        <v>427.92</v>
      </c>
      <c r="I932" s="6">
        <v>2139.6</v>
      </c>
      <c r="J932" s="6">
        <v>1616.9</v>
      </c>
      <c r="K932" s="6">
        <v>522.7</v>
      </c>
      <c r="L932" s="4" t="str">
        <f t="shared" si="1"/>
        <v>Oct-2025</v>
      </c>
    </row>
    <row r="933" ht="15.75" customHeight="1">
      <c r="A933" s="4" t="s">
        <v>1252</v>
      </c>
      <c r="B933" s="5">
        <v>45943.0</v>
      </c>
      <c r="C933" s="4" t="s">
        <v>47</v>
      </c>
      <c r="D933" s="4" t="s">
        <v>14</v>
      </c>
      <c r="E933" s="4" t="s">
        <v>25</v>
      </c>
      <c r="F933" s="4" t="s">
        <v>446</v>
      </c>
      <c r="G933" s="4">
        <v>6.0</v>
      </c>
      <c r="H933" s="6">
        <v>129.8</v>
      </c>
      <c r="I933" s="6">
        <v>778.8</v>
      </c>
      <c r="J933" s="6">
        <v>593.13</v>
      </c>
      <c r="K933" s="6">
        <v>185.67</v>
      </c>
      <c r="L933" s="4" t="str">
        <f t="shared" si="1"/>
        <v>Oct-2025</v>
      </c>
    </row>
    <row r="934" ht="15.75" customHeight="1">
      <c r="A934" s="4" t="s">
        <v>1253</v>
      </c>
      <c r="B934" s="5">
        <v>45943.0</v>
      </c>
      <c r="C934" s="4" t="s">
        <v>140</v>
      </c>
      <c r="D934" s="4" t="s">
        <v>14</v>
      </c>
      <c r="E934" s="4" t="s">
        <v>29</v>
      </c>
      <c r="F934" s="4" t="s">
        <v>638</v>
      </c>
      <c r="G934" s="4">
        <v>7.0</v>
      </c>
      <c r="H934" s="6">
        <v>536.23</v>
      </c>
      <c r="I934" s="6">
        <v>3753.61</v>
      </c>
      <c r="J934" s="6">
        <v>2650.91</v>
      </c>
      <c r="K934" s="6">
        <v>1102.7</v>
      </c>
      <c r="L934" s="4" t="str">
        <f t="shared" si="1"/>
        <v>Oct-2025</v>
      </c>
    </row>
    <row r="935" ht="15.75" customHeight="1">
      <c r="A935" s="4" t="s">
        <v>1254</v>
      </c>
      <c r="B935" s="5">
        <v>45944.0</v>
      </c>
      <c r="C935" s="4" t="s">
        <v>23</v>
      </c>
      <c r="D935" s="4" t="s">
        <v>24</v>
      </c>
      <c r="E935" s="4" t="s">
        <v>15</v>
      </c>
      <c r="F935" s="4" t="s">
        <v>248</v>
      </c>
      <c r="G935" s="4">
        <v>6.0</v>
      </c>
      <c r="H935" s="6">
        <v>6384.86</v>
      </c>
      <c r="I935" s="6">
        <v>38309.16</v>
      </c>
      <c r="J935" s="6">
        <v>30780.44</v>
      </c>
      <c r="K935" s="6">
        <v>7528.72</v>
      </c>
      <c r="L935" s="4" t="str">
        <f t="shared" si="1"/>
        <v>Oct-2025</v>
      </c>
    </row>
    <row r="936" ht="15.75" customHeight="1">
      <c r="A936" s="4" t="s">
        <v>1255</v>
      </c>
      <c r="B936" s="5">
        <v>45944.0</v>
      </c>
      <c r="C936" s="4" t="s">
        <v>155</v>
      </c>
      <c r="D936" s="4" t="s">
        <v>24</v>
      </c>
      <c r="E936" s="4" t="s">
        <v>29</v>
      </c>
      <c r="F936" s="4" t="s">
        <v>67</v>
      </c>
      <c r="G936" s="4">
        <v>7.0</v>
      </c>
      <c r="H936" s="6">
        <v>9518.26</v>
      </c>
      <c r="I936" s="6">
        <v>66627.82</v>
      </c>
      <c r="J936" s="6">
        <v>57019.94</v>
      </c>
      <c r="K936" s="6">
        <v>9607.88</v>
      </c>
      <c r="L936" s="4" t="str">
        <f t="shared" si="1"/>
        <v>Oct-2025</v>
      </c>
    </row>
    <row r="937" ht="15.75" customHeight="1">
      <c r="A937" s="4" t="s">
        <v>1256</v>
      </c>
      <c r="B937" s="5">
        <v>45944.0</v>
      </c>
      <c r="C937" s="4" t="s">
        <v>92</v>
      </c>
      <c r="D937" s="4" t="s">
        <v>14</v>
      </c>
      <c r="E937" s="4" t="s">
        <v>29</v>
      </c>
      <c r="F937" s="4" t="s">
        <v>418</v>
      </c>
      <c r="G937" s="4">
        <v>3.0</v>
      </c>
      <c r="H937" s="6">
        <v>440.08</v>
      </c>
      <c r="I937" s="6">
        <v>1320.24</v>
      </c>
      <c r="J937" s="6">
        <v>981.16</v>
      </c>
      <c r="K937" s="6">
        <v>339.08</v>
      </c>
      <c r="L937" s="4" t="str">
        <f t="shared" si="1"/>
        <v>Oct-2025</v>
      </c>
    </row>
    <row r="938" ht="15.75" customHeight="1">
      <c r="A938" s="4" t="s">
        <v>1257</v>
      </c>
      <c r="B938" s="5">
        <v>45944.0</v>
      </c>
      <c r="C938" s="4" t="s">
        <v>160</v>
      </c>
      <c r="D938" s="4" t="s">
        <v>42</v>
      </c>
      <c r="E938" s="4" t="s">
        <v>25</v>
      </c>
      <c r="F938" s="4" t="s">
        <v>741</v>
      </c>
      <c r="G938" s="4">
        <v>4.0</v>
      </c>
      <c r="H938" s="6">
        <v>4237.26</v>
      </c>
      <c r="I938" s="6">
        <v>16949.04</v>
      </c>
      <c r="J938" s="6">
        <v>12949.1</v>
      </c>
      <c r="K938" s="6">
        <v>3999.94</v>
      </c>
      <c r="L938" s="4" t="str">
        <f t="shared" si="1"/>
        <v>Oct-2025</v>
      </c>
    </row>
    <row r="939" ht="15.75" customHeight="1">
      <c r="A939" s="4" t="s">
        <v>1258</v>
      </c>
      <c r="B939" s="5">
        <v>45945.0</v>
      </c>
      <c r="C939" s="4" t="s">
        <v>38</v>
      </c>
      <c r="D939" s="4" t="s">
        <v>19</v>
      </c>
      <c r="E939" s="4" t="s">
        <v>25</v>
      </c>
      <c r="F939" s="4" t="s">
        <v>286</v>
      </c>
      <c r="G939" s="4">
        <v>2.0</v>
      </c>
      <c r="H939" s="6">
        <v>13508.49</v>
      </c>
      <c r="I939" s="6">
        <v>27016.98</v>
      </c>
      <c r="J939" s="6">
        <v>22451.2</v>
      </c>
      <c r="K939" s="6">
        <v>4565.78</v>
      </c>
      <c r="L939" s="4" t="str">
        <f t="shared" si="1"/>
        <v>Oct-2025</v>
      </c>
    </row>
    <row r="940" ht="15.75" customHeight="1">
      <c r="A940" s="4" t="s">
        <v>1259</v>
      </c>
      <c r="B940" s="5">
        <v>45946.0</v>
      </c>
      <c r="C940" s="4" t="s">
        <v>140</v>
      </c>
      <c r="D940" s="4" t="s">
        <v>14</v>
      </c>
      <c r="E940" s="4" t="s">
        <v>15</v>
      </c>
      <c r="F940" s="4" t="s">
        <v>1260</v>
      </c>
      <c r="G940" s="4">
        <v>7.0</v>
      </c>
      <c r="H940" s="6">
        <v>881.07</v>
      </c>
      <c r="I940" s="6">
        <v>6167.49</v>
      </c>
      <c r="J940" s="6">
        <v>4501.12</v>
      </c>
      <c r="K940" s="6">
        <v>1666.37</v>
      </c>
      <c r="L940" s="4" t="str">
        <f t="shared" si="1"/>
        <v>Oct-2025</v>
      </c>
    </row>
    <row r="941" ht="15.75" customHeight="1">
      <c r="A941" s="4" t="s">
        <v>1261</v>
      </c>
      <c r="B941" s="5">
        <v>45947.0</v>
      </c>
      <c r="C941" s="4" t="s">
        <v>23</v>
      </c>
      <c r="D941" s="4" t="s">
        <v>24</v>
      </c>
      <c r="E941" s="4" t="s">
        <v>15</v>
      </c>
      <c r="F941" s="4" t="s">
        <v>386</v>
      </c>
      <c r="G941" s="4">
        <v>2.0</v>
      </c>
      <c r="H941" s="6">
        <v>9355.03</v>
      </c>
      <c r="I941" s="6">
        <v>18710.06</v>
      </c>
      <c r="J941" s="6">
        <v>15958.32</v>
      </c>
      <c r="K941" s="6">
        <v>2751.74</v>
      </c>
      <c r="L941" s="4" t="str">
        <f t="shared" si="1"/>
        <v>Oct-2025</v>
      </c>
    </row>
    <row r="942" ht="15.75" customHeight="1">
      <c r="A942" s="4" t="s">
        <v>1262</v>
      </c>
      <c r="B942" s="5">
        <v>45947.0</v>
      </c>
      <c r="C942" s="4" t="s">
        <v>160</v>
      </c>
      <c r="D942" s="4" t="s">
        <v>42</v>
      </c>
      <c r="E942" s="4" t="s">
        <v>20</v>
      </c>
      <c r="F942" s="4" t="s">
        <v>386</v>
      </c>
      <c r="G942" s="4">
        <v>6.0</v>
      </c>
      <c r="H942" s="6">
        <v>947.24</v>
      </c>
      <c r="I942" s="6">
        <v>5683.44</v>
      </c>
      <c r="J942" s="6">
        <v>4600.08</v>
      </c>
      <c r="K942" s="6">
        <v>1083.36</v>
      </c>
      <c r="L942" s="4" t="str">
        <f t="shared" si="1"/>
        <v>Oct-2025</v>
      </c>
    </row>
    <row r="943" ht="15.75" customHeight="1">
      <c r="A943" s="4" t="s">
        <v>1263</v>
      </c>
      <c r="B943" s="5">
        <v>45947.0</v>
      </c>
      <c r="C943" s="4" t="s">
        <v>38</v>
      </c>
      <c r="D943" s="4" t="s">
        <v>19</v>
      </c>
      <c r="E943" s="4" t="s">
        <v>25</v>
      </c>
      <c r="F943" s="4" t="s">
        <v>141</v>
      </c>
      <c r="G943" s="4">
        <v>6.0</v>
      </c>
      <c r="H943" s="6">
        <v>64093.61</v>
      </c>
      <c r="I943" s="6">
        <v>384561.66</v>
      </c>
      <c r="J943" s="6">
        <v>316605.24</v>
      </c>
      <c r="K943" s="6">
        <v>67956.42</v>
      </c>
      <c r="L943" s="4" t="str">
        <f t="shared" si="1"/>
        <v>Oct-2025</v>
      </c>
    </row>
    <row r="944" ht="15.75" customHeight="1">
      <c r="A944" s="4" t="s">
        <v>1264</v>
      </c>
      <c r="B944" s="5">
        <v>45948.0</v>
      </c>
      <c r="C944" s="4" t="s">
        <v>180</v>
      </c>
      <c r="D944" s="4" t="s">
        <v>19</v>
      </c>
      <c r="E944" s="4" t="s">
        <v>29</v>
      </c>
      <c r="F944" s="4" t="s">
        <v>270</v>
      </c>
      <c r="G944" s="4">
        <v>4.0</v>
      </c>
      <c r="H944" s="6">
        <v>60383.05</v>
      </c>
      <c r="I944" s="6">
        <v>241532.2</v>
      </c>
      <c r="J944" s="6">
        <v>201452.87</v>
      </c>
      <c r="K944" s="6">
        <v>40079.33</v>
      </c>
      <c r="L944" s="4" t="str">
        <f t="shared" si="1"/>
        <v>Oct-2025</v>
      </c>
    </row>
    <row r="945" ht="15.75" customHeight="1">
      <c r="A945" s="4" t="s">
        <v>1265</v>
      </c>
      <c r="B945" s="5">
        <v>45948.0</v>
      </c>
      <c r="C945" s="4" t="s">
        <v>92</v>
      </c>
      <c r="D945" s="4" t="s">
        <v>14</v>
      </c>
      <c r="E945" s="4" t="s">
        <v>15</v>
      </c>
      <c r="F945" s="4" t="s">
        <v>16</v>
      </c>
      <c r="G945" s="4">
        <v>7.0</v>
      </c>
      <c r="H945" s="6">
        <v>1163.42</v>
      </c>
      <c r="I945" s="6">
        <v>8143.94</v>
      </c>
      <c r="J945" s="6">
        <v>6627.92</v>
      </c>
      <c r="K945" s="6">
        <v>1516.02</v>
      </c>
      <c r="L945" s="4" t="str">
        <f t="shared" si="1"/>
        <v>Oct-2025</v>
      </c>
    </row>
    <row r="946" ht="15.75" customHeight="1">
      <c r="A946" s="4" t="s">
        <v>1266</v>
      </c>
      <c r="B946" s="5">
        <v>45948.0</v>
      </c>
      <c r="C946" s="4" t="s">
        <v>13</v>
      </c>
      <c r="D946" s="4" t="s">
        <v>14</v>
      </c>
      <c r="E946" s="4" t="s">
        <v>29</v>
      </c>
      <c r="F946" s="4" t="s">
        <v>229</v>
      </c>
      <c r="G946" s="4">
        <v>6.0</v>
      </c>
      <c r="H946" s="6">
        <v>533.68</v>
      </c>
      <c r="I946" s="6">
        <v>3202.08</v>
      </c>
      <c r="J946" s="6">
        <v>2198.28</v>
      </c>
      <c r="K946" s="6">
        <v>1003.8</v>
      </c>
      <c r="L946" s="4" t="str">
        <f t="shared" si="1"/>
        <v>Oct-2025</v>
      </c>
    </row>
    <row r="947" ht="15.75" customHeight="1">
      <c r="A947" s="4" t="s">
        <v>1267</v>
      </c>
      <c r="B947" s="5">
        <v>45949.0</v>
      </c>
      <c r="C947" s="4" t="s">
        <v>72</v>
      </c>
      <c r="D947" s="4" t="s">
        <v>24</v>
      </c>
      <c r="E947" s="4" t="s">
        <v>29</v>
      </c>
      <c r="F947" s="4" t="s">
        <v>705</v>
      </c>
      <c r="G947" s="4">
        <v>5.0</v>
      </c>
      <c r="H947" s="6">
        <v>11640.37</v>
      </c>
      <c r="I947" s="6">
        <v>58201.85</v>
      </c>
      <c r="J947" s="6">
        <v>46804.33</v>
      </c>
      <c r="K947" s="6">
        <v>11397.52</v>
      </c>
      <c r="L947" s="4" t="str">
        <f t="shared" si="1"/>
        <v>Oct-2025</v>
      </c>
    </row>
    <row r="948" ht="15.75" customHeight="1">
      <c r="A948" s="4" t="s">
        <v>1268</v>
      </c>
      <c r="B948" s="5">
        <v>45950.0</v>
      </c>
      <c r="C948" s="4" t="s">
        <v>140</v>
      </c>
      <c r="D948" s="4" t="s">
        <v>14</v>
      </c>
      <c r="E948" s="4" t="s">
        <v>20</v>
      </c>
      <c r="F948" s="4" t="s">
        <v>641</v>
      </c>
      <c r="G948" s="4">
        <v>3.0</v>
      </c>
      <c r="H948" s="6">
        <v>334.91</v>
      </c>
      <c r="I948" s="6">
        <v>1004.73</v>
      </c>
      <c r="J948" s="6">
        <v>799.01</v>
      </c>
      <c r="K948" s="6">
        <v>205.72</v>
      </c>
      <c r="L948" s="4" t="str">
        <f t="shared" si="1"/>
        <v>Oct-2025</v>
      </c>
    </row>
    <row r="949" ht="15.75" customHeight="1">
      <c r="A949" s="4" t="s">
        <v>1269</v>
      </c>
      <c r="B949" s="5">
        <v>45951.0</v>
      </c>
      <c r="C949" s="4" t="s">
        <v>28</v>
      </c>
      <c r="D949" s="4" t="s">
        <v>14</v>
      </c>
      <c r="E949" s="4" t="s">
        <v>25</v>
      </c>
      <c r="F949" s="4" t="s">
        <v>1114</v>
      </c>
      <c r="G949" s="4">
        <v>5.0</v>
      </c>
      <c r="H949" s="6">
        <v>1021.04</v>
      </c>
      <c r="I949" s="6">
        <v>5105.2</v>
      </c>
      <c r="J949" s="6">
        <v>3853.86</v>
      </c>
      <c r="K949" s="6">
        <v>1251.34</v>
      </c>
      <c r="L949" s="4" t="str">
        <f t="shared" si="1"/>
        <v>Oct-2025</v>
      </c>
    </row>
    <row r="950" ht="15.75" customHeight="1">
      <c r="A950" s="4" t="s">
        <v>1270</v>
      </c>
      <c r="B950" s="5">
        <v>45951.0</v>
      </c>
      <c r="C950" s="4" t="s">
        <v>109</v>
      </c>
      <c r="D950" s="4" t="s">
        <v>42</v>
      </c>
      <c r="E950" s="4" t="s">
        <v>25</v>
      </c>
      <c r="F950" s="4" t="s">
        <v>382</v>
      </c>
      <c r="G950" s="4">
        <v>4.0</v>
      </c>
      <c r="H950" s="6">
        <v>2801.02</v>
      </c>
      <c r="I950" s="6">
        <v>11204.08</v>
      </c>
      <c r="J950" s="6">
        <v>8461.83</v>
      </c>
      <c r="K950" s="6">
        <v>2742.25</v>
      </c>
      <c r="L950" s="4" t="str">
        <f t="shared" si="1"/>
        <v>Oct-2025</v>
      </c>
    </row>
    <row r="951" ht="15.75" customHeight="1">
      <c r="A951" s="4" t="s">
        <v>1271</v>
      </c>
      <c r="B951" s="5">
        <v>45951.0</v>
      </c>
      <c r="C951" s="4" t="s">
        <v>102</v>
      </c>
      <c r="D951" s="4" t="s">
        <v>24</v>
      </c>
      <c r="E951" s="4" t="s">
        <v>20</v>
      </c>
      <c r="F951" s="4" t="s">
        <v>543</v>
      </c>
      <c r="G951" s="4">
        <v>6.0</v>
      </c>
      <c r="H951" s="6">
        <v>6027.19</v>
      </c>
      <c r="I951" s="6">
        <v>36163.14</v>
      </c>
      <c r="J951" s="6">
        <v>30655.62</v>
      </c>
      <c r="K951" s="6">
        <v>5507.52</v>
      </c>
      <c r="L951" s="4" t="str">
        <f t="shared" si="1"/>
        <v>Oct-2025</v>
      </c>
    </row>
    <row r="952" ht="15.75" customHeight="1">
      <c r="A952" s="4" t="s">
        <v>1272</v>
      </c>
      <c r="B952" s="5">
        <v>45951.0</v>
      </c>
      <c r="C952" s="4" t="s">
        <v>23</v>
      </c>
      <c r="D952" s="4" t="s">
        <v>24</v>
      </c>
      <c r="E952" s="4" t="s">
        <v>15</v>
      </c>
      <c r="F952" s="4" t="s">
        <v>820</v>
      </c>
      <c r="G952" s="4">
        <v>3.0</v>
      </c>
      <c r="H952" s="6">
        <v>12715.58</v>
      </c>
      <c r="I952" s="6">
        <v>38146.74</v>
      </c>
      <c r="J952" s="6">
        <v>31832.44</v>
      </c>
      <c r="K952" s="6">
        <v>6314.3</v>
      </c>
      <c r="L952" s="4" t="str">
        <f t="shared" si="1"/>
        <v>Oct-2025</v>
      </c>
    </row>
    <row r="953" ht="15.75" customHeight="1">
      <c r="A953" s="4" t="s">
        <v>1273</v>
      </c>
      <c r="B953" s="5">
        <v>45951.0</v>
      </c>
      <c r="C953" s="4" t="s">
        <v>47</v>
      </c>
      <c r="D953" s="4" t="s">
        <v>14</v>
      </c>
      <c r="E953" s="4" t="s">
        <v>29</v>
      </c>
      <c r="F953" s="4" t="s">
        <v>116</v>
      </c>
      <c r="G953" s="4">
        <v>7.0</v>
      </c>
      <c r="H953" s="6">
        <v>1200.77</v>
      </c>
      <c r="I953" s="6">
        <v>8405.39</v>
      </c>
      <c r="J953" s="6">
        <v>6230.14</v>
      </c>
      <c r="K953" s="6">
        <v>2175.25</v>
      </c>
      <c r="L953" s="4" t="str">
        <f t="shared" si="1"/>
        <v>Oct-2025</v>
      </c>
    </row>
    <row r="954" ht="15.75" customHeight="1">
      <c r="A954" s="4" t="s">
        <v>1274</v>
      </c>
      <c r="B954" s="5">
        <v>45951.0</v>
      </c>
      <c r="C954" s="4" t="s">
        <v>69</v>
      </c>
      <c r="D954" s="4" t="s">
        <v>19</v>
      </c>
      <c r="E954" s="4" t="s">
        <v>15</v>
      </c>
      <c r="F954" s="4" t="s">
        <v>95</v>
      </c>
      <c r="G954" s="4">
        <v>2.0</v>
      </c>
      <c r="H954" s="6">
        <v>23055.7</v>
      </c>
      <c r="I954" s="6">
        <v>46111.4</v>
      </c>
      <c r="J954" s="6">
        <v>39124.15</v>
      </c>
      <c r="K954" s="6">
        <v>6987.25</v>
      </c>
      <c r="L954" s="4" t="str">
        <f t="shared" si="1"/>
        <v>Oct-2025</v>
      </c>
    </row>
    <row r="955" ht="15.75" customHeight="1">
      <c r="A955" s="4" t="s">
        <v>1275</v>
      </c>
      <c r="B955" s="5">
        <v>45952.0</v>
      </c>
      <c r="C955" s="4" t="s">
        <v>41</v>
      </c>
      <c r="D955" s="4" t="s">
        <v>42</v>
      </c>
      <c r="E955" s="4" t="s">
        <v>29</v>
      </c>
      <c r="F955" s="4" t="s">
        <v>229</v>
      </c>
      <c r="G955" s="4">
        <v>7.0</v>
      </c>
      <c r="H955" s="6">
        <v>2085.13</v>
      </c>
      <c r="I955" s="6">
        <v>14595.91</v>
      </c>
      <c r="J955" s="6">
        <v>12030.62</v>
      </c>
      <c r="K955" s="6">
        <v>2565.29</v>
      </c>
      <c r="L955" s="4" t="str">
        <f t="shared" si="1"/>
        <v>Oct-2025</v>
      </c>
    </row>
    <row r="956" ht="15.75" customHeight="1">
      <c r="A956" s="4" t="s">
        <v>1276</v>
      </c>
      <c r="B956" s="5">
        <v>45952.0</v>
      </c>
      <c r="C956" s="4" t="s">
        <v>47</v>
      </c>
      <c r="D956" s="4" t="s">
        <v>14</v>
      </c>
      <c r="E956" s="4" t="s">
        <v>15</v>
      </c>
      <c r="F956" s="4" t="s">
        <v>354</v>
      </c>
      <c r="G956" s="4">
        <v>4.0</v>
      </c>
      <c r="H956" s="6">
        <v>678.52</v>
      </c>
      <c r="I956" s="6">
        <v>2714.08</v>
      </c>
      <c r="J956" s="6">
        <v>2236.31</v>
      </c>
      <c r="K956" s="6">
        <v>477.77</v>
      </c>
      <c r="L956" s="4" t="str">
        <f t="shared" si="1"/>
        <v>Oct-2025</v>
      </c>
    </row>
    <row r="957" ht="15.75" customHeight="1">
      <c r="A957" s="4" t="s">
        <v>1277</v>
      </c>
      <c r="B957" s="5">
        <v>45952.0</v>
      </c>
      <c r="C957" s="4" t="s">
        <v>92</v>
      </c>
      <c r="D957" s="4" t="s">
        <v>14</v>
      </c>
      <c r="E957" s="4" t="s">
        <v>29</v>
      </c>
      <c r="F957" s="4" t="s">
        <v>116</v>
      </c>
      <c r="G957" s="4">
        <v>1.0</v>
      </c>
      <c r="H957" s="6">
        <v>1299.1</v>
      </c>
      <c r="I957" s="6">
        <v>1299.1</v>
      </c>
      <c r="J957" s="6">
        <v>932.41</v>
      </c>
      <c r="K957" s="6">
        <v>366.69</v>
      </c>
      <c r="L957" s="4" t="str">
        <f t="shared" si="1"/>
        <v>Oct-2025</v>
      </c>
    </row>
    <row r="958" ht="15.75" customHeight="1">
      <c r="A958" s="4" t="s">
        <v>1278</v>
      </c>
      <c r="B958" s="5">
        <v>45953.0</v>
      </c>
      <c r="C958" s="4" t="s">
        <v>102</v>
      </c>
      <c r="D958" s="4" t="s">
        <v>24</v>
      </c>
      <c r="E958" s="4" t="s">
        <v>20</v>
      </c>
      <c r="F958" s="4" t="s">
        <v>64</v>
      </c>
      <c r="G958" s="4">
        <v>1.0</v>
      </c>
      <c r="H958" s="6">
        <v>17070.38</v>
      </c>
      <c r="I958" s="6">
        <v>17070.38</v>
      </c>
      <c r="J958" s="6">
        <v>13280.76</v>
      </c>
      <c r="K958" s="6">
        <v>3789.62</v>
      </c>
      <c r="L958" s="4" t="str">
        <f t="shared" si="1"/>
        <v>Oct-2025</v>
      </c>
    </row>
    <row r="959" ht="15.75" customHeight="1">
      <c r="A959" s="4" t="s">
        <v>1279</v>
      </c>
      <c r="B959" s="5">
        <v>45954.0</v>
      </c>
      <c r="C959" s="4" t="s">
        <v>18</v>
      </c>
      <c r="D959" s="4" t="s">
        <v>19</v>
      </c>
      <c r="E959" s="4" t="s">
        <v>25</v>
      </c>
      <c r="F959" s="4" t="s">
        <v>405</v>
      </c>
      <c r="G959" s="4">
        <v>1.0</v>
      </c>
      <c r="H959" s="6">
        <v>18799.31</v>
      </c>
      <c r="I959" s="6">
        <v>18799.31</v>
      </c>
      <c r="J959" s="6">
        <v>17089.38</v>
      </c>
      <c r="K959" s="6">
        <v>1709.93</v>
      </c>
      <c r="L959" s="4" t="str">
        <f t="shared" si="1"/>
        <v>Oct-2025</v>
      </c>
    </row>
    <row r="960" ht="15.75" customHeight="1">
      <c r="A960" s="4" t="s">
        <v>1280</v>
      </c>
      <c r="B960" s="5">
        <v>45955.0</v>
      </c>
      <c r="C960" s="4" t="s">
        <v>13</v>
      </c>
      <c r="D960" s="4" t="s">
        <v>14</v>
      </c>
      <c r="E960" s="4" t="s">
        <v>15</v>
      </c>
      <c r="F960" s="4" t="s">
        <v>371</v>
      </c>
      <c r="G960" s="4">
        <v>5.0</v>
      </c>
      <c r="H960" s="6">
        <v>764.88</v>
      </c>
      <c r="I960" s="6">
        <v>3824.4</v>
      </c>
      <c r="J960" s="6">
        <v>3019.39</v>
      </c>
      <c r="K960" s="6">
        <v>805.01</v>
      </c>
      <c r="L960" s="4" t="str">
        <f t="shared" si="1"/>
        <v>Oct-2025</v>
      </c>
    </row>
    <row r="961" ht="15.75" customHeight="1">
      <c r="A961" s="4" t="s">
        <v>1281</v>
      </c>
      <c r="B961" s="5">
        <v>45955.0</v>
      </c>
      <c r="C961" s="4" t="s">
        <v>61</v>
      </c>
      <c r="D961" s="4" t="s">
        <v>19</v>
      </c>
      <c r="E961" s="4" t="s">
        <v>25</v>
      </c>
      <c r="F961" s="4" t="s">
        <v>1030</v>
      </c>
      <c r="G961" s="4">
        <v>7.0</v>
      </c>
      <c r="H961" s="6">
        <v>29696.05</v>
      </c>
      <c r="I961" s="6">
        <v>207872.35</v>
      </c>
      <c r="J961" s="6">
        <v>167502.65</v>
      </c>
      <c r="K961" s="6">
        <v>40369.7</v>
      </c>
      <c r="L961" s="4" t="str">
        <f t="shared" si="1"/>
        <v>Oct-2025</v>
      </c>
    </row>
    <row r="962" ht="15.75" customHeight="1">
      <c r="A962" s="4" t="s">
        <v>1282</v>
      </c>
      <c r="B962" s="5">
        <v>45956.0</v>
      </c>
      <c r="C962" s="4" t="s">
        <v>23</v>
      </c>
      <c r="D962" s="4" t="s">
        <v>24</v>
      </c>
      <c r="E962" s="4" t="s">
        <v>29</v>
      </c>
      <c r="F962" s="4" t="s">
        <v>304</v>
      </c>
      <c r="G962" s="4">
        <v>5.0</v>
      </c>
      <c r="H962" s="6">
        <v>893.75</v>
      </c>
      <c r="I962" s="6">
        <v>4468.75</v>
      </c>
      <c r="J962" s="6">
        <v>3838.24</v>
      </c>
      <c r="K962" s="6">
        <v>630.51</v>
      </c>
      <c r="L962" s="4" t="str">
        <f t="shared" si="1"/>
        <v>Oct-2025</v>
      </c>
    </row>
    <row r="963" ht="15.75" customHeight="1">
      <c r="A963" s="4" t="s">
        <v>1283</v>
      </c>
      <c r="B963" s="5">
        <v>45956.0</v>
      </c>
      <c r="C963" s="4" t="s">
        <v>155</v>
      </c>
      <c r="D963" s="4" t="s">
        <v>24</v>
      </c>
      <c r="E963" s="4" t="s">
        <v>25</v>
      </c>
      <c r="F963" s="4" t="s">
        <v>125</v>
      </c>
      <c r="G963" s="4">
        <v>1.0</v>
      </c>
      <c r="H963" s="6">
        <v>13108.63</v>
      </c>
      <c r="I963" s="6">
        <v>13108.63</v>
      </c>
      <c r="J963" s="6">
        <v>9862.29</v>
      </c>
      <c r="K963" s="6">
        <v>3246.34</v>
      </c>
      <c r="L963" s="4" t="str">
        <f t="shared" si="1"/>
        <v>Oct-2025</v>
      </c>
    </row>
    <row r="964" ht="15.75" customHeight="1">
      <c r="A964" s="4" t="s">
        <v>1284</v>
      </c>
      <c r="B964" s="5">
        <v>45956.0</v>
      </c>
      <c r="C964" s="4" t="s">
        <v>160</v>
      </c>
      <c r="D964" s="4" t="s">
        <v>42</v>
      </c>
      <c r="E964" s="4" t="s">
        <v>15</v>
      </c>
      <c r="F964" s="4" t="s">
        <v>119</v>
      </c>
      <c r="G964" s="4">
        <v>7.0</v>
      </c>
      <c r="H964" s="6">
        <v>1609.24</v>
      </c>
      <c r="I964" s="6">
        <v>11264.68</v>
      </c>
      <c r="J964" s="6">
        <v>8595.11</v>
      </c>
      <c r="K964" s="6">
        <v>2669.57</v>
      </c>
      <c r="L964" s="4" t="str">
        <f t="shared" si="1"/>
        <v>Oct-2025</v>
      </c>
    </row>
    <row r="965" ht="15.75" customHeight="1">
      <c r="A965" s="4" t="s">
        <v>1285</v>
      </c>
      <c r="B965" s="5">
        <v>45957.0</v>
      </c>
      <c r="C965" s="4" t="s">
        <v>35</v>
      </c>
      <c r="D965" s="4" t="s">
        <v>14</v>
      </c>
      <c r="E965" s="4" t="s">
        <v>25</v>
      </c>
      <c r="F965" s="4" t="s">
        <v>719</v>
      </c>
      <c r="G965" s="4">
        <v>5.0</v>
      </c>
      <c r="H965" s="6">
        <v>487.62</v>
      </c>
      <c r="I965" s="6">
        <v>2438.1</v>
      </c>
      <c r="J965" s="6">
        <v>1905.34</v>
      </c>
      <c r="K965" s="6">
        <v>532.76</v>
      </c>
      <c r="L965" s="4" t="str">
        <f t="shared" si="1"/>
        <v>Oct-2025</v>
      </c>
    </row>
    <row r="966" ht="15.75" customHeight="1">
      <c r="A966" s="4" t="s">
        <v>1286</v>
      </c>
      <c r="B966" s="5">
        <v>45957.0</v>
      </c>
      <c r="C966" s="4" t="s">
        <v>109</v>
      </c>
      <c r="D966" s="4" t="s">
        <v>42</v>
      </c>
      <c r="E966" s="4" t="s">
        <v>20</v>
      </c>
      <c r="F966" s="4" t="s">
        <v>53</v>
      </c>
      <c r="G966" s="4">
        <v>5.0</v>
      </c>
      <c r="H966" s="6">
        <v>3503.99</v>
      </c>
      <c r="I966" s="6">
        <v>17519.95</v>
      </c>
      <c r="J966" s="6">
        <v>15546.18</v>
      </c>
      <c r="K966" s="6">
        <v>1973.77</v>
      </c>
      <c r="L966" s="4" t="str">
        <f t="shared" si="1"/>
        <v>Oct-2025</v>
      </c>
    </row>
    <row r="967" ht="15.75" customHeight="1">
      <c r="A967" s="4" t="s">
        <v>1287</v>
      </c>
      <c r="B967" s="5">
        <v>45957.0</v>
      </c>
      <c r="C967" s="4" t="s">
        <v>66</v>
      </c>
      <c r="D967" s="4" t="s">
        <v>42</v>
      </c>
      <c r="E967" s="4" t="s">
        <v>20</v>
      </c>
      <c r="F967" s="4" t="s">
        <v>746</v>
      </c>
      <c r="G967" s="4">
        <v>7.0</v>
      </c>
      <c r="H967" s="6">
        <v>2101.06</v>
      </c>
      <c r="I967" s="6">
        <v>14707.42</v>
      </c>
      <c r="J967" s="6">
        <v>11217.17</v>
      </c>
      <c r="K967" s="6">
        <v>3490.25</v>
      </c>
      <c r="L967" s="4" t="str">
        <f t="shared" si="1"/>
        <v>Oct-2025</v>
      </c>
    </row>
    <row r="968" ht="15.75" customHeight="1">
      <c r="A968" s="4" t="s">
        <v>1288</v>
      </c>
      <c r="B968" s="5">
        <v>45958.0</v>
      </c>
      <c r="C968" s="4" t="s">
        <v>160</v>
      </c>
      <c r="D968" s="4" t="s">
        <v>42</v>
      </c>
      <c r="E968" s="4" t="s">
        <v>29</v>
      </c>
      <c r="F968" s="4" t="s">
        <v>615</v>
      </c>
      <c r="G968" s="4">
        <v>6.0</v>
      </c>
      <c r="H968" s="6">
        <v>3599.27</v>
      </c>
      <c r="I968" s="6">
        <v>21595.62</v>
      </c>
      <c r="J968" s="6">
        <v>18630.36</v>
      </c>
      <c r="K968" s="6">
        <v>2965.26</v>
      </c>
      <c r="L968" s="4" t="str">
        <f t="shared" si="1"/>
        <v>Oct-2025</v>
      </c>
    </row>
    <row r="969" ht="15.75" customHeight="1">
      <c r="A969" s="4" t="s">
        <v>1289</v>
      </c>
      <c r="B969" s="5">
        <v>45958.0</v>
      </c>
      <c r="C969" s="4" t="s">
        <v>92</v>
      </c>
      <c r="D969" s="4" t="s">
        <v>14</v>
      </c>
      <c r="E969" s="4" t="s">
        <v>20</v>
      </c>
      <c r="F969" s="4" t="s">
        <v>356</v>
      </c>
      <c r="G969" s="4">
        <v>5.0</v>
      </c>
      <c r="H969" s="6">
        <v>532.38</v>
      </c>
      <c r="I969" s="6">
        <v>2661.9</v>
      </c>
      <c r="J969" s="6">
        <v>2015.49</v>
      </c>
      <c r="K969" s="6">
        <v>646.41</v>
      </c>
      <c r="L969" s="4" t="str">
        <f t="shared" si="1"/>
        <v>Oct-2025</v>
      </c>
    </row>
    <row r="970" ht="15.75" customHeight="1">
      <c r="A970" s="4" t="s">
        <v>1290</v>
      </c>
      <c r="B970" s="5">
        <v>45958.0</v>
      </c>
      <c r="C970" s="4" t="s">
        <v>28</v>
      </c>
      <c r="D970" s="4" t="s">
        <v>14</v>
      </c>
      <c r="E970" s="4" t="s">
        <v>25</v>
      </c>
      <c r="F970" s="4" t="s">
        <v>129</v>
      </c>
      <c r="G970" s="4">
        <v>7.0</v>
      </c>
      <c r="H970" s="6">
        <v>392.27</v>
      </c>
      <c r="I970" s="6">
        <v>2745.89</v>
      </c>
      <c r="J970" s="6">
        <v>2091.38</v>
      </c>
      <c r="K970" s="6">
        <v>654.51</v>
      </c>
      <c r="L970" s="4" t="str">
        <f t="shared" si="1"/>
        <v>Oct-2025</v>
      </c>
    </row>
    <row r="971" ht="15.75" customHeight="1">
      <c r="A971" s="4" t="s">
        <v>1291</v>
      </c>
      <c r="B971" s="5">
        <v>45958.0</v>
      </c>
      <c r="C971" s="4" t="s">
        <v>180</v>
      </c>
      <c r="D971" s="4" t="s">
        <v>19</v>
      </c>
      <c r="E971" s="4" t="s">
        <v>20</v>
      </c>
      <c r="F971" s="4" t="s">
        <v>926</v>
      </c>
      <c r="G971" s="4">
        <v>3.0</v>
      </c>
      <c r="H971" s="6">
        <v>43231.15</v>
      </c>
      <c r="I971" s="6">
        <v>129693.45</v>
      </c>
      <c r="J971" s="6">
        <v>110230.77</v>
      </c>
      <c r="K971" s="6">
        <v>19462.68</v>
      </c>
      <c r="L971" s="4" t="str">
        <f t="shared" si="1"/>
        <v>Oct-2025</v>
      </c>
    </row>
    <row r="972" ht="15.75" customHeight="1">
      <c r="A972" s="4" t="s">
        <v>1292</v>
      </c>
      <c r="B972" s="5">
        <v>45958.0</v>
      </c>
      <c r="C972" s="4" t="s">
        <v>61</v>
      </c>
      <c r="D972" s="4" t="s">
        <v>19</v>
      </c>
      <c r="E972" s="4" t="s">
        <v>25</v>
      </c>
      <c r="F972" s="4" t="s">
        <v>241</v>
      </c>
      <c r="G972" s="4">
        <v>2.0</v>
      </c>
      <c r="H972" s="6">
        <v>61987.28</v>
      </c>
      <c r="I972" s="6">
        <v>123974.56</v>
      </c>
      <c r="J972" s="6">
        <v>105006.2</v>
      </c>
      <c r="K972" s="6">
        <v>18968.36</v>
      </c>
      <c r="L972" s="4" t="str">
        <f t="shared" si="1"/>
        <v>Oct-2025</v>
      </c>
    </row>
    <row r="973" ht="15.75" customHeight="1">
      <c r="A973" s="4" t="s">
        <v>1293</v>
      </c>
      <c r="B973" s="5">
        <v>45959.0</v>
      </c>
      <c r="C973" s="4" t="s">
        <v>38</v>
      </c>
      <c r="D973" s="4" t="s">
        <v>19</v>
      </c>
      <c r="E973" s="4" t="s">
        <v>25</v>
      </c>
      <c r="F973" s="4" t="s">
        <v>475</v>
      </c>
      <c r="G973" s="4">
        <v>5.0</v>
      </c>
      <c r="H973" s="6">
        <v>63271.47</v>
      </c>
      <c r="I973" s="6">
        <v>316357.35</v>
      </c>
      <c r="J973" s="6">
        <v>283983.82</v>
      </c>
      <c r="K973" s="6">
        <v>32373.53</v>
      </c>
      <c r="L973" s="4" t="str">
        <f t="shared" si="1"/>
        <v>Oct-2025</v>
      </c>
    </row>
    <row r="974" ht="15.75" customHeight="1">
      <c r="A974" s="4" t="s">
        <v>1294</v>
      </c>
      <c r="B974" s="5">
        <v>45959.0</v>
      </c>
      <c r="C974" s="4" t="s">
        <v>18</v>
      </c>
      <c r="D974" s="4" t="s">
        <v>19</v>
      </c>
      <c r="E974" s="4" t="s">
        <v>20</v>
      </c>
      <c r="F974" s="4" t="s">
        <v>1106</v>
      </c>
      <c r="G974" s="4">
        <v>7.0</v>
      </c>
      <c r="H974" s="6">
        <v>36806.79</v>
      </c>
      <c r="I974" s="6">
        <v>257647.53</v>
      </c>
      <c r="J974" s="6">
        <v>212984.56</v>
      </c>
      <c r="K974" s="6">
        <v>44662.97</v>
      </c>
      <c r="L974" s="4" t="str">
        <f t="shared" si="1"/>
        <v>Oct-2025</v>
      </c>
    </row>
    <row r="975" ht="15.75" customHeight="1">
      <c r="A975" s="4" t="s">
        <v>1295</v>
      </c>
      <c r="B975" s="5">
        <v>45960.0</v>
      </c>
      <c r="C975" s="4" t="s">
        <v>109</v>
      </c>
      <c r="D975" s="4" t="s">
        <v>42</v>
      </c>
      <c r="E975" s="4" t="s">
        <v>15</v>
      </c>
      <c r="F975" s="4" t="s">
        <v>875</v>
      </c>
      <c r="G975" s="4">
        <v>2.0</v>
      </c>
      <c r="H975" s="6">
        <v>846.64</v>
      </c>
      <c r="I975" s="6">
        <v>1693.28</v>
      </c>
      <c r="J975" s="6">
        <v>1452.07</v>
      </c>
      <c r="K975" s="6">
        <v>241.21</v>
      </c>
      <c r="L975" s="4" t="str">
        <f t="shared" si="1"/>
        <v>Oct-2025</v>
      </c>
    </row>
    <row r="976" ht="15.75" customHeight="1">
      <c r="A976" s="4" t="s">
        <v>1296</v>
      </c>
      <c r="B976" s="5">
        <v>45960.0</v>
      </c>
      <c r="C976" s="4" t="s">
        <v>18</v>
      </c>
      <c r="D976" s="4" t="s">
        <v>19</v>
      </c>
      <c r="E976" s="4" t="s">
        <v>25</v>
      </c>
      <c r="F976" s="4" t="s">
        <v>356</v>
      </c>
      <c r="G976" s="4">
        <v>5.0</v>
      </c>
      <c r="H976" s="6">
        <v>61452.0</v>
      </c>
      <c r="I976" s="6">
        <v>307260.0</v>
      </c>
      <c r="J976" s="6">
        <v>248270.07</v>
      </c>
      <c r="K976" s="6">
        <v>58989.93</v>
      </c>
      <c r="L976" s="4" t="str">
        <f t="shared" si="1"/>
        <v>Oct-2025</v>
      </c>
    </row>
    <row r="977" ht="15.75" customHeight="1">
      <c r="A977" s="4" t="s">
        <v>1297</v>
      </c>
      <c r="B977" s="5">
        <v>45961.0</v>
      </c>
      <c r="C977" s="4" t="s">
        <v>140</v>
      </c>
      <c r="D977" s="4" t="s">
        <v>14</v>
      </c>
      <c r="E977" s="4" t="s">
        <v>29</v>
      </c>
      <c r="F977" s="4" t="s">
        <v>1114</v>
      </c>
      <c r="G977" s="4">
        <v>4.0</v>
      </c>
      <c r="H977" s="6">
        <v>546.59</v>
      </c>
      <c r="I977" s="6">
        <v>2186.36</v>
      </c>
      <c r="J977" s="6">
        <v>1639.51</v>
      </c>
      <c r="K977" s="6">
        <v>546.85</v>
      </c>
      <c r="L977" s="4" t="str">
        <f t="shared" si="1"/>
        <v>Oct-2025</v>
      </c>
    </row>
    <row r="978" ht="15.75" customHeight="1">
      <c r="A978" s="4" t="s">
        <v>1298</v>
      </c>
      <c r="B978" s="5">
        <v>45961.0</v>
      </c>
      <c r="C978" s="4" t="s">
        <v>102</v>
      </c>
      <c r="D978" s="4" t="s">
        <v>24</v>
      </c>
      <c r="E978" s="4" t="s">
        <v>25</v>
      </c>
      <c r="F978" s="4" t="s">
        <v>67</v>
      </c>
      <c r="G978" s="4">
        <v>6.0</v>
      </c>
      <c r="H978" s="6">
        <v>948.8</v>
      </c>
      <c r="I978" s="6">
        <v>5692.8</v>
      </c>
      <c r="J978" s="6">
        <v>4441.53</v>
      </c>
      <c r="K978" s="6">
        <v>1251.27</v>
      </c>
      <c r="L978" s="4" t="str">
        <f t="shared" si="1"/>
        <v>Oct-2025</v>
      </c>
    </row>
    <row r="979" ht="15.75" customHeight="1">
      <c r="A979" s="4" t="s">
        <v>1299</v>
      </c>
      <c r="B979" s="5">
        <v>45961.0</v>
      </c>
      <c r="C979" s="4" t="s">
        <v>180</v>
      </c>
      <c r="D979" s="4" t="s">
        <v>19</v>
      </c>
      <c r="E979" s="4" t="s">
        <v>25</v>
      </c>
      <c r="F979" s="4" t="s">
        <v>1300</v>
      </c>
      <c r="G979" s="4">
        <v>1.0</v>
      </c>
      <c r="H979" s="6">
        <v>36116.81</v>
      </c>
      <c r="I979" s="6">
        <v>36116.81</v>
      </c>
      <c r="J979" s="6">
        <v>32746.49</v>
      </c>
      <c r="K979" s="6">
        <v>3370.32</v>
      </c>
      <c r="L979" s="4" t="str">
        <f t="shared" si="1"/>
        <v>Oct-2025</v>
      </c>
    </row>
    <row r="980" ht="15.75" customHeight="1">
      <c r="A980" s="4" t="s">
        <v>1301</v>
      </c>
      <c r="B980" s="5">
        <v>45961.0</v>
      </c>
      <c r="C980" s="4" t="s">
        <v>13</v>
      </c>
      <c r="D980" s="4" t="s">
        <v>14</v>
      </c>
      <c r="E980" s="4" t="s">
        <v>20</v>
      </c>
      <c r="F980" s="4" t="s">
        <v>343</v>
      </c>
      <c r="G980" s="4">
        <v>3.0</v>
      </c>
      <c r="H980" s="6">
        <v>967.97</v>
      </c>
      <c r="I980" s="6">
        <v>2903.91</v>
      </c>
      <c r="J980" s="6">
        <v>2402.16</v>
      </c>
      <c r="K980" s="6">
        <v>501.75</v>
      </c>
      <c r="L980" s="4" t="str">
        <f t="shared" si="1"/>
        <v>Oct-2025</v>
      </c>
    </row>
    <row r="981" ht="15.75" customHeight="1">
      <c r="A981" s="4" t="s">
        <v>1302</v>
      </c>
      <c r="B981" s="5">
        <v>45961.0</v>
      </c>
      <c r="C981" s="4" t="s">
        <v>61</v>
      </c>
      <c r="D981" s="4" t="s">
        <v>19</v>
      </c>
      <c r="E981" s="4" t="s">
        <v>29</v>
      </c>
      <c r="F981" s="4" t="s">
        <v>86</v>
      </c>
      <c r="G981" s="4">
        <v>7.0</v>
      </c>
      <c r="H981" s="6">
        <v>6910.31</v>
      </c>
      <c r="I981" s="6">
        <v>48372.17</v>
      </c>
      <c r="J981" s="6">
        <v>44486.72</v>
      </c>
      <c r="K981" s="6">
        <v>3885.45</v>
      </c>
      <c r="L981" s="4" t="str">
        <f t="shared" si="1"/>
        <v>Oct-2025</v>
      </c>
    </row>
    <row r="982" ht="15.75" customHeight="1">
      <c r="A982" s="4" t="s">
        <v>1303</v>
      </c>
      <c r="B982" s="5">
        <v>45962.0</v>
      </c>
      <c r="C982" s="4" t="s">
        <v>23</v>
      </c>
      <c r="D982" s="4" t="s">
        <v>24</v>
      </c>
      <c r="E982" s="4" t="s">
        <v>15</v>
      </c>
      <c r="F982" s="4" t="s">
        <v>394</v>
      </c>
      <c r="G982" s="4">
        <v>3.0</v>
      </c>
      <c r="H982" s="6">
        <v>4631.76</v>
      </c>
      <c r="I982" s="6">
        <v>13895.28</v>
      </c>
      <c r="J982" s="6">
        <v>10886.23</v>
      </c>
      <c r="K982" s="6">
        <v>3009.05</v>
      </c>
      <c r="L982" s="4" t="str">
        <f t="shared" si="1"/>
        <v>Nov-2025</v>
      </c>
    </row>
    <row r="983" ht="15.75" customHeight="1">
      <c r="A983" s="4" t="s">
        <v>1304</v>
      </c>
      <c r="B983" s="5">
        <v>45962.0</v>
      </c>
      <c r="C983" s="4" t="s">
        <v>32</v>
      </c>
      <c r="D983" s="4" t="s">
        <v>19</v>
      </c>
      <c r="E983" s="4" t="s">
        <v>29</v>
      </c>
      <c r="F983" s="4" t="s">
        <v>173</v>
      </c>
      <c r="G983" s="4">
        <v>7.0</v>
      </c>
      <c r="H983" s="6">
        <v>31660.33</v>
      </c>
      <c r="I983" s="6">
        <v>221622.31</v>
      </c>
      <c r="J983" s="6">
        <v>181386.9</v>
      </c>
      <c r="K983" s="6">
        <v>40235.41</v>
      </c>
      <c r="L983" s="4" t="str">
        <f t="shared" si="1"/>
        <v>Nov-2025</v>
      </c>
    </row>
    <row r="984" ht="15.75" customHeight="1">
      <c r="A984" s="4" t="s">
        <v>1305</v>
      </c>
      <c r="B984" s="5">
        <v>45963.0</v>
      </c>
      <c r="C984" s="4" t="s">
        <v>155</v>
      </c>
      <c r="D984" s="4" t="s">
        <v>24</v>
      </c>
      <c r="E984" s="4" t="s">
        <v>29</v>
      </c>
      <c r="F984" s="4" t="s">
        <v>974</v>
      </c>
      <c r="G984" s="4">
        <v>6.0</v>
      </c>
      <c r="H984" s="6">
        <v>17445.95</v>
      </c>
      <c r="I984" s="6">
        <v>104675.7</v>
      </c>
      <c r="J984" s="6">
        <v>78853.16</v>
      </c>
      <c r="K984" s="6">
        <v>25822.54</v>
      </c>
      <c r="L984" s="4" t="str">
        <f t="shared" si="1"/>
        <v>Nov-2025</v>
      </c>
    </row>
    <row r="985" ht="15.75" customHeight="1">
      <c r="A985" s="4" t="s">
        <v>1306</v>
      </c>
      <c r="B985" s="5">
        <v>45963.0</v>
      </c>
      <c r="C985" s="4" t="s">
        <v>38</v>
      </c>
      <c r="D985" s="4" t="s">
        <v>19</v>
      </c>
      <c r="E985" s="4" t="s">
        <v>29</v>
      </c>
      <c r="F985" s="4" t="s">
        <v>256</v>
      </c>
      <c r="G985" s="4">
        <v>2.0</v>
      </c>
      <c r="H985" s="6">
        <v>41759.75</v>
      </c>
      <c r="I985" s="6">
        <v>83519.5</v>
      </c>
      <c r="J985" s="6">
        <v>74523.36</v>
      </c>
      <c r="K985" s="6">
        <v>8996.14</v>
      </c>
      <c r="L985" s="4" t="str">
        <f t="shared" si="1"/>
        <v>Nov-2025</v>
      </c>
    </row>
    <row r="986" ht="15.75" customHeight="1">
      <c r="A986" s="4" t="s">
        <v>1307</v>
      </c>
      <c r="B986" s="5">
        <v>45963.0</v>
      </c>
      <c r="C986" s="4" t="s">
        <v>160</v>
      </c>
      <c r="D986" s="4" t="s">
        <v>42</v>
      </c>
      <c r="E986" s="4" t="s">
        <v>15</v>
      </c>
      <c r="F986" s="4" t="s">
        <v>250</v>
      </c>
      <c r="G986" s="4">
        <v>4.0</v>
      </c>
      <c r="H986" s="6">
        <v>3312.93</v>
      </c>
      <c r="I986" s="6">
        <v>13251.72</v>
      </c>
      <c r="J986" s="6">
        <v>11877.89</v>
      </c>
      <c r="K986" s="6">
        <v>1373.83</v>
      </c>
      <c r="L986" s="4" t="str">
        <f t="shared" si="1"/>
        <v>Nov-2025</v>
      </c>
    </row>
    <row r="987" ht="15.75" customHeight="1">
      <c r="A987" s="4" t="s">
        <v>1308</v>
      </c>
      <c r="B987" s="5">
        <v>45963.0</v>
      </c>
      <c r="C987" s="4" t="s">
        <v>50</v>
      </c>
      <c r="D987" s="4" t="s">
        <v>42</v>
      </c>
      <c r="E987" s="4" t="s">
        <v>29</v>
      </c>
      <c r="F987" s="4" t="s">
        <v>352</v>
      </c>
      <c r="G987" s="4">
        <v>5.0</v>
      </c>
      <c r="H987" s="6">
        <v>1422.39</v>
      </c>
      <c r="I987" s="6">
        <v>7111.95</v>
      </c>
      <c r="J987" s="6">
        <v>6341.09</v>
      </c>
      <c r="K987" s="6">
        <v>770.86</v>
      </c>
      <c r="L987" s="4" t="str">
        <f t="shared" si="1"/>
        <v>Nov-2025</v>
      </c>
    </row>
    <row r="988" ht="15.75" customHeight="1">
      <c r="A988" s="4" t="s">
        <v>1309</v>
      </c>
      <c r="B988" s="5">
        <v>45964.0</v>
      </c>
      <c r="C988" s="4" t="s">
        <v>13</v>
      </c>
      <c r="D988" s="4" t="s">
        <v>14</v>
      </c>
      <c r="E988" s="4" t="s">
        <v>29</v>
      </c>
      <c r="F988" s="4" t="s">
        <v>99</v>
      </c>
      <c r="G988" s="4">
        <v>3.0</v>
      </c>
      <c r="H988" s="6">
        <v>939.02</v>
      </c>
      <c r="I988" s="6">
        <v>2817.06</v>
      </c>
      <c r="J988" s="6">
        <v>2146.26</v>
      </c>
      <c r="K988" s="6">
        <v>670.8</v>
      </c>
      <c r="L988" s="4" t="str">
        <f t="shared" si="1"/>
        <v>Nov-2025</v>
      </c>
    </row>
    <row r="989" ht="15.75" customHeight="1">
      <c r="A989" s="4" t="s">
        <v>1310</v>
      </c>
      <c r="B989" s="5">
        <v>45964.0</v>
      </c>
      <c r="C989" s="4" t="s">
        <v>92</v>
      </c>
      <c r="D989" s="4" t="s">
        <v>14</v>
      </c>
      <c r="E989" s="4" t="s">
        <v>15</v>
      </c>
      <c r="F989" s="4" t="s">
        <v>707</v>
      </c>
      <c r="G989" s="4">
        <v>1.0</v>
      </c>
      <c r="H989" s="6">
        <v>144.32</v>
      </c>
      <c r="I989" s="6">
        <v>144.32</v>
      </c>
      <c r="J989" s="6">
        <v>102.84</v>
      </c>
      <c r="K989" s="6">
        <v>41.48</v>
      </c>
      <c r="L989" s="4" t="str">
        <f t="shared" si="1"/>
        <v>Nov-2025</v>
      </c>
    </row>
    <row r="990" ht="15.75" customHeight="1">
      <c r="A990" s="4" t="s">
        <v>1311</v>
      </c>
      <c r="B990" s="5">
        <v>45965.0</v>
      </c>
      <c r="C990" s="4" t="s">
        <v>50</v>
      </c>
      <c r="D990" s="4" t="s">
        <v>42</v>
      </c>
      <c r="E990" s="4" t="s">
        <v>15</v>
      </c>
      <c r="F990" s="4" t="s">
        <v>153</v>
      </c>
      <c r="G990" s="4">
        <v>7.0</v>
      </c>
      <c r="H990" s="6">
        <v>884.74</v>
      </c>
      <c r="I990" s="6">
        <v>6193.18</v>
      </c>
      <c r="J990" s="6">
        <v>5179.21</v>
      </c>
      <c r="K990" s="6">
        <v>1013.97</v>
      </c>
      <c r="L990" s="4" t="str">
        <f t="shared" si="1"/>
        <v>Nov-2025</v>
      </c>
    </row>
    <row r="991" ht="15.75" customHeight="1">
      <c r="A991" s="4" t="s">
        <v>1312</v>
      </c>
      <c r="B991" s="5">
        <v>45965.0</v>
      </c>
      <c r="C991" s="4" t="s">
        <v>23</v>
      </c>
      <c r="D991" s="4" t="s">
        <v>24</v>
      </c>
      <c r="E991" s="4" t="s">
        <v>29</v>
      </c>
      <c r="F991" s="4" t="s">
        <v>219</v>
      </c>
      <c r="G991" s="4">
        <v>4.0</v>
      </c>
      <c r="H991" s="6">
        <v>14615.68</v>
      </c>
      <c r="I991" s="6">
        <v>58462.72</v>
      </c>
      <c r="J991" s="6">
        <v>44968.84</v>
      </c>
      <c r="K991" s="6">
        <v>13493.88</v>
      </c>
      <c r="L991" s="4" t="str">
        <f t="shared" si="1"/>
        <v>Nov-2025</v>
      </c>
    </row>
    <row r="992" ht="15.75" customHeight="1">
      <c r="A992" s="4" t="s">
        <v>1313</v>
      </c>
      <c r="B992" s="5">
        <v>45965.0</v>
      </c>
      <c r="C992" s="4" t="s">
        <v>41</v>
      </c>
      <c r="D992" s="4" t="s">
        <v>42</v>
      </c>
      <c r="E992" s="4" t="s">
        <v>15</v>
      </c>
      <c r="F992" s="4" t="s">
        <v>103</v>
      </c>
      <c r="G992" s="4">
        <v>5.0</v>
      </c>
      <c r="H992" s="6">
        <v>2910.04</v>
      </c>
      <c r="I992" s="6">
        <v>14550.2</v>
      </c>
      <c r="J992" s="6">
        <v>10919.31</v>
      </c>
      <c r="K992" s="6">
        <v>3630.89</v>
      </c>
      <c r="L992" s="4" t="str">
        <f t="shared" si="1"/>
        <v>Nov-2025</v>
      </c>
    </row>
    <row r="993" ht="15.75" customHeight="1">
      <c r="A993" s="4" t="s">
        <v>1314</v>
      </c>
      <c r="B993" s="5">
        <v>45965.0</v>
      </c>
      <c r="C993" s="4" t="s">
        <v>61</v>
      </c>
      <c r="D993" s="4" t="s">
        <v>19</v>
      </c>
      <c r="E993" s="4" t="s">
        <v>29</v>
      </c>
      <c r="F993" s="4" t="s">
        <v>195</v>
      </c>
      <c r="G993" s="4">
        <v>7.0</v>
      </c>
      <c r="H993" s="6">
        <v>12722.43</v>
      </c>
      <c r="I993" s="6">
        <v>89057.01</v>
      </c>
      <c r="J993" s="6">
        <v>81665.58</v>
      </c>
      <c r="K993" s="6">
        <v>7391.43</v>
      </c>
      <c r="L993" s="4" t="str">
        <f t="shared" si="1"/>
        <v>Nov-2025</v>
      </c>
    </row>
    <row r="994" ht="15.75" customHeight="1">
      <c r="A994" s="4" t="s">
        <v>1315</v>
      </c>
      <c r="B994" s="5">
        <v>45965.0</v>
      </c>
      <c r="C994" s="4" t="s">
        <v>18</v>
      </c>
      <c r="D994" s="4" t="s">
        <v>19</v>
      </c>
      <c r="E994" s="4" t="s">
        <v>15</v>
      </c>
      <c r="F994" s="4" t="s">
        <v>304</v>
      </c>
      <c r="G994" s="4">
        <v>1.0</v>
      </c>
      <c r="H994" s="6">
        <v>58947.05</v>
      </c>
      <c r="I994" s="6">
        <v>58947.05</v>
      </c>
      <c r="J994" s="6">
        <v>51426.28</v>
      </c>
      <c r="K994" s="6">
        <v>7520.77</v>
      </c>
      <c r="L994" s="4" t="str">
        <f t="shared" si="1"/>
        <v>Nov-2025</v>
      </c>
    </row>
    <row r="995" ht="15.75" customHeight="1">
      <c r="A995" s="4" t="s">
        <v>1316</v>
      </c>
      <c r="B995" s="5">
        <v>45965.0</v>
      </c>
      <c r="C995" s="4" t="s">
        <v>102</v>
      </c>
      <c r="D995" s="4" t="s">
        <v>24</v>
      </c>
      <c r="E995" s="4" t="s">
        <v>20</v>
      </c>
      <c r="F995" s="4" t="s">
        <v>323</v>
      </c>
      <c r="G995" s="4">
        <v>1.0</v>
      </c>
      <c r="H995" s="6">
        <v>12830.24</v>
      </c>
      <c r="I995" s="6">
        <v>12830.24</v>
      </c>
      <c r="J995" s="6">
        <v>10136.77</v>
      </c>
      <c r="K995" s="6">
        <v>2693.47</v>
      </c>
      <c r="L995" s="4" t="str">
        <f t="shared" si="1"/>
        <v>Nov-2025</v>
      </c>
    </row>
    <row r="996" ht="15.75" customHeight="1">
      <c r="A996" s="4" t="s">
        <v>1317</v>
      </c>
      <c r="B996" s="5">
        <v>45965.0</v>
      </c>
      <c r="C996" s="4" t="s">
        <v>180</v>
      </c>
      <c r="D996" s="4" t="s">
        <v>19</v>
      </c>
      <c r="E996" s="4" t="s">
        <v>15</v>
      </c>
      <c r="F996" s="4" t="s">
        <v>354</v>
      </c>
      <c r="G996" s="4">
        <v>6.0</v>
      </c>
      <c r="H996" s="6">
        <v>32415.39</v>
      </c>
      <c r="I996" s="6">
        <v>194492.34</v>
      </c>
      <c r="J996" s="6">
        <v>175882.29</v>
      </c>
      <c r="K996" s="6">
        <v>18610.05</v>
      </c>
      <c r="L996" s="4" t="str">
        <f t="shared" si="1"/>
        <v>Nov-2025</v>
      </c>
    </row>
    <row r="997" ht="15.75" customHeight="1">
      <c r="A997" s="4" t="s">
        <v>1318</v>
      </c>
      <c r="B997" s="5">
        <v>45966.0</v>
      </c>
      <c r="C997" s="4" t="s">
        <v>155</v>
      </c>
      <c r="D997" s="4" t="s">
        <v>24</v>
      </c>
      <c r="E997" s="4" t="s">
        <v>29</v>
      </c>
      <c r="F997" s="4" t="s">
        <v>559</v>
      </c>
      <c r="G997" s="4">
        <v>6.0</v>
      </c>
      <c r="H997" s="6">
        <v>13782.84</v>
      </c>
      <c r="I997" s="6">
        <v>82697.04</v>
      </c>
      <c r="J997" s="6">
        <v>60799.37</v>
      </c>
      <c r="K997" s="6">
        <v>21897.67</v>
      </c>
      <c r="L997" s="4" t="str">
        <f t="shared" si="1"/>
        <v>Nov-2025</v>
      </c>
    </row>
    <row r="998" ht="15.75" customHeight="1">
      <c r="A998" s="4" t="s">
        <v>1319</v>
      </c>
      <c r="B998" s="5">
        <v>45966.0</v>
      </c>
      <c r="C998" s="4" t="s">
        <v>18</v>
      </c>
      <c r="D998" s="4" t="s">
        <v>19</v>
      </c>
      <c r="E998" s="4" t="s">
        <v>15</v>
      </c>
      <c r="F998" s="4" t="s">
        <v>396</v>
      </c>
      <c r="G998" s="4">
        <v>5.0</v>
      </c>
      <c r="H998" s="6">
        <v>14438.92</v>
      </c>
      <c r="I998" s="6">
        <v>72194.6</v>
      </c>
      <c r="J998" s="6">
        <v>61420.83</v>
      </c>
      <c r="K998" s="6">
        <v>10773.77</v>
      </c>
      <c r="L998" s="4" t="str">
        <f t="shared" si="1"/>
        <v>Nov-2025</v>
      </c>
    </row>
    <row r="999" ht="15.75" customHeight="1">
      <c r="A999" s="4" t="s">
        <v>1320</v>
      </c>
      <c r="B999" s="5">
        <v>45966.0</v>
      </c>
      <c r="C999" s="4" t="s">
        <v>61</v>
      </c>
      <c r="D999" s="4" t="s">
        <v>19</v>
      </c>
      <c r="E999" s="4" t="s">
        <v>29</v>
      </c>
      <c r="F999" s="4" t="s">
        <v>346</v>
      </c>
      <c r="G999" s="4">
        <v>3.0</v>
      </c>
      <c r="H999" s="6">
        <v>41079.42</v>
      </c>
      <c r="I999" s="6">
        <v>123238.26</v>
      </c>
      <c r="J999" s="6">
        <v>106997.51</v>
      </c>
      <c r="K999" s="6">
        <v>16240.75</v>
      </c>
      <c r="L999" s="4" t="str">
        <f t="shared" si="1"/>
        <v>Nov-2025</v>
      </c>
    </row>
    <row r="1000" ht="15.75" customHeight="1">
      <c r="A1000" s="4" t="s">
        <v>1321</v>
      </c>
      <c r="B1000" s="5">
        <v>45966.0</v>
      </c>
      <c r="C1000" s="4" t="s">
        <v>18</v>
      </c>
      <c r="D1000" s="4" t="s">
        <v>19</v>
      </c>
      <c r="E1000" s="4" t="s">
        <v>15</v>
      </c>
      <c r="F1000" s="4" t="s">
        <v>248</v>
      </c>
      <c r="G1000" s="4">
        <v>3.0</v>
      </c>
      <c r="H1000" s="6">
        <v>72476.79</v>
      </c>
      <c r="I1000" s="6">
        <v>217430.37</v>
      </c>
      <c r="J1000" s="6">
        <v>176246.28</v>
      </c>
      <c r="K1000" s="6">
        <v>41184.09</v>
      </c>
      <c r="L1000" s="4" t="str">
        <f t="shared" si="1"/>
        <v>Nov-2025</v>
      </c>
    </row>
    <row r="1001" ht="15.75" customHeight="1">
      <c r="A1001" s="4" t="s">
        <v>1322</v>
      </c>
      <c r="B1001" s="5">
        <v>45966.0</v>
      </c>
      <c r="C1001" s="4" t="s">
        <v>47</v>
      </c>
      <c r="D1001" s="4" t="s">
        <v>14</v>
      </c>
      <c r="E1001" s="4" t="s">
        <v>29</v>
      </c>
      <c r="F1001" s="4" t="s">
        <v>663</v>
      </c>
      <c r="G1001" s="4">
        <v>4.0</v>
      </c>
      <c r="H1001" s="6">
        <v>1410.9</v>
      </c>
      <c r="I1001" s="6">
        <v>5643.6</v>
      </c>
      <c r="J1001" s="6">
        <v>4204.64</v>
      </c>
      <c r="K1001" s="6">
        <v>1438.96</v>
      </c>
      <c r="L1001" s="4" t="str">
        <f t="shared" si="1"/>
        <v>Nov-2025</v>
      </c>
    </row>
    <row r="1002" ht="15.75" customHeight="1">
      <c r="A1002" s="4" t="s">
        <v>1323</v>
      </c>
      <c r="B1002" s="5">
        <v>45968.0</v>
      </c>
      <c r="C1002" s="4" t="s">
        <v>38</v>
      </c>
      <c r="D1002" s="4" t="s">
        <v>19</v>
      </c>
      <c r="E1002" s="4" t="s">
        <v>15</v>
      </c>
      <c r="F1002" s="4" t="s">
        <v>26</v>
      </c>
      <c r="G1002" s="4">
        <v>1.0</v>
      </c>
      <c r="H1002" s="6">
        <v>22180.89</v>
      </c>
      <c r="I1002" s="6">
        <v>22180.89</v>
      </c>
      <c r="J1002" s="6">
        <v>19778.23</v>
      </c>
      <c r="K1002" s="6">
        <v>2402.66</v>
      </c>
      <c r="L1002" s="4" t="str">
        <f t="shared" si="1"/>
        <v>Nov-2025</v>
      </c>
    </row>
    <row r="1003" ht="15.75" customHeight="1">
      <c r="A1003" s="4" t="s">
        <v>1324</v>
      </c>
      <c r="B1003" s="5">
        <v>45968.0</v>
      </c>
      <c r="C1003" s="4" t="s">
        <v>155</v>
      </c>
      <c r="D1003" s="4" t="s">
        <v>24</v>
      </c>
      <c r="E1003" s="4" t="s">
        <v>20</v>
      </c>
      <c r="F1003" s="4" t="s">
        <v>891</v>
      </c>
      <c r="G1003" s="4">
        <v>2.0</v>
      </c>
      <c r="H1003" s="6">
        <v>17674.38</v>
      </c>
      <c r="I1003" s="6">
        <v>35348.76</v>
      </c>
      <c r="J1003" s="6">
        <v>26624.15</v>
      </c>
      <c r="K1003" s="6">
        <v>8724.61</v>
      </c>
      <c r="L1003" s="4" t="str">
        <f t="shared" si="1"/>
        <v>Nov-2025</v>
      </c>
    </row>
    <row r="1004" ht="15.75" customHeight="1">
      <c r="A1004" s="4" t="s">
        <v>1325</v>
      </c>
      <c r="B1004" s="5">
        <v>45968.0</v>
      </c>
      <c r="C1004" s="4" t="s">
        <v>109</v>
      </c>
      <c r="D1004" s="4" t="s">
        <v>42</v>
      </c>
      <c r="E1004" s="4" t="s">
        <v>20</v>
      </c>
      <c r="F1004" s="4" t="s">
        <v>250</v>
      </c>
      <c r="G1004" s="4">
        <v>7.0</v>
      </c>
      <c r="H1004" s="6">
        <v>4773.51</v>
      </c>
      <c r="I1004" s="6">
        <v>33414.57</v>
      </c>
      <c r="J1004" s="6">
        <v>25356.04</v>
      </c>
      <c r="K1004" s="6">
        <v>8058.53</v>
      </c>
      <c r="L1004" s="4" t="str">
        <f t="shared" si="1"/>
        <v>Nov-2025</v>
      </c>
    </row>
    <row r="1005" ht="15.75" customHeight="1">
      <c r="A1005" s="4" t="s">
        <v>1326</v>
      </c>
      <c r="B1005" s="5">
        <v>45968.0</v>
      </c>
      <c r="C1005" s="4" t="s">
        <v>32</v>
      </c>
      <c r="D1005" s="4" t="s">
        <v>19</v>
      </c>
      <c r="E1005" s="4" t="s">
        <v>20</v>
      </c>
      <c r="F1005" s="4" t="s">
        <v>422</v>
      </c>
      <c r="G1005" s="4">
        <v>5.0</v>
      </c>
      <c r="H1005" s="6">
        <v>15971.43</v>
      </c>
      <c r="I1005" s="6">
        <v>79857.15</v>
      </c>
      <c r="J1005" s="6">
        <v>64530.82</v>
      </c>
      <c r="K1005" s="6">
        <v>15326.33</v>
      </c>
      <c r="L1005" s="4" t="str">
        <f t="shared" si="1"/>
        <v>Nov-2025</v>
      </c>
    </row>
    <row r="1006" ht="15.75" customHeight="1">
      <c r="A1006" s="4" t="s">
        <v>1327</v>
      </c>
      <c r="B1006" s="5">
        <v>45968.0</v>
      </c>
      <c r="C1006" s="4" t="s">
        <v>155</v>
      </c>
      <c r="D1006" s="4" t="s">
        <v>24</v>
      </c>
      <c r="E1006" s="4" t="s">
        <v>20</v>
      </c>
      <c r="F1006" s="4" t="s">
        <v>57</v>
      </c>
      <c r="G1006" s="4">
        <v>2.0</v>
      </c>
      <c r="H1006" s="6">
        <v>15539.34</v>
      </c>
      <c r="I1006" s="6">
        <v>31078.68</v>
      </c>
      <c r="J1006" s="6">
        <v>26698.17</v>
      </c>
      <c r="K1006" s="6">
        <v>4380.51</v>
      </c>
      <c r="L1006" s="4" t="str">
        <f t="shared" si="1"/>
        <v>Nov-2025</v>
      </c>
    </row>
    <row r="1007" ht="15.75" customHeight="1">
      <c r="A1007" s="4" t="s">
        <v>1328</v>
      </c>
      <c r="B1007" s="5">
        <v>45968.0</v>
      </c>
      <c r="C1007" s="4" t="s">
        <v>28</v>
      </c>
      <c r="D1007" s="4" t="s">
        <v>14</v>
      </c>
      <c r="E1007" s="4" t="s">
        <v>25</v>
      </c>
      <c r="F1007" s="4" t="s">
        <v>371</v>
      </c>
      <c r="G1007" s="4">
        <v>4.0</v>
      </c>
      <c r="H1007" s="6">
        <v>389.57</v>
      </c>
      <c r="I1007" s="6">
        <v>1558.28</v>
      </c>
      <c r="J1007" s="6">
        <v>1254.95</v>
      </c>
      <c r="K1007" s="6">
        <v>303.33</v>
      </c>
      <c r="L1007" s="4" t="str">
        <f t="shared" si="1"/>
        <v>Nov-2025</v>
      </c>
    </row>
    <row r="1008" ht="15.75" customHeight="1">
      <c r="A1008" s="4" t="s">
        <v>1329</v>
      </c>
      <c r="B1008" s="5">
        <v>45969.0</v>
      </c>
      <c r="C1008" s="4" t="s">
        <v>23</v>
      </c>
      <c r="D1008" s="4" t="s">
        <v>24</v>
      </c>
      <c r="E1008" s="4" t="s">
        <v>20</v>
      </c>
      <c r="F1008" s="4" t="s">
        <v>1330</v>
      </c>
      <c r="G1008" s="4">
        <v>4.0</v>
      </c>
      <c r="H1008" s="6">
        <v>10039.28</v>
      </c>
      <c r="I1008" s="6">
        <v>40157.12</v>
      </c>
      <c r="J1008" s="6">
        <v>29931.32</v>
      </c>
      <c r="K1008" s="6">
        <v>10225.8</v>
      </c>
      <c r="L1008" s="4" t="str">
        <f t="shared" si="1"/>
        <v>Nov-2025</v>
      </c>
    </row>
    <row r="1009" ht="15.75" customHeight="1">
      <c r="A1009" s="4" t="s">
        <v>1331</v>
      </c>
      <c r="B1009" s="5">
        <v>45970.0</v>
      </c>
      <c r="C1009" s="4" t="s">
        <v>35</v>
      </c>
      <c r="D1009" s="4" t="s">
        <v>14</v>
      </c>
      <c r="E1009" s="4" t="s">
        <v>29</v>
      </c>
      <c r="F1009" s="4" t="s">
        <v>238</v>
      </c>
      <c r="G1009" s="4">
        <v>3.0</v>
      </c>
      <c r="H1009" s="6">
        <v>1284.79</v>
      </c>
      <c r="I1009" s="6">
        <v>3854.37</v>
      </c>
      <c r="J1009" s="6">
        <v>2776.68</v>
      </c>
      <c r="K1009" s="6">
        <v>1077.69</v>
      </c>
      <c r="L1009" s="4" t="str">
        <f t="shared" si="1"/>
        <v>Nov-2025</v>
      </c>
    </row>
    <row r="1010" ht="15.75" customHeight="1">
      <c r="A1010" s="4" t="s">
        <v>1332</v>
      </c>
      <c r="B1010" s="5">
        <v>45970.0</v>
      </c>
      <c r="C1010" s="4" t="s">
        <v>92</v>
      </c>
      <c r="D1010" s="4" t="s">
        <v>14</v>
      </c>
      <c r="E1010" s="4" t="s">
        <v>25</v>
      </c>
      <c r="F1010" s="4" t="s">
        <v>57</v>
      </c>
      <c r="G1010" s="4">
        <v>2.0</v>
      </c>
      <c r="H1010" s="6">
        <v>958.66</v>
      </c>
      <c r="I1010" s="6">
        <v>1917.32</v>
      </c>
      <c r="J1010" s="6">
        <v>1373.37</v>
      </c>
      <c r="K1010" s="6">
        <v>543.95</v>
      </c>
      <c r="L1010" s="4" t="str">
        <f t="shared" si="1"/>
        <v>Nov-2025</v>
      </c>
    </row>
    <row r="1011" ht="15.75" customHeight="1">
      <c r="A1011" s="4" t="s">
        <v>1333</v>
      </c>
      <c r="B1011" s="5">
        <v>45970.0</v>
      </c>
      <c r="C1011" s="4" t="s">
        <v>35</v>
      </c>
      <c r="D1011" s="4" t="s">
        <v>14</v>
      </c>
      <c r="E1011" s="4" t="s">
        <v>20</v>
      </c>
      <c r="F1011" s="4" t="s">
        <v>76</v>
      </c>
      <c r="G1011" s="4">
        <v>1.0</v>
      </c>
      <c r="H1011" s="6">
        <v>215.69</v>
      </c>
      <c r="I1011" s="6">
        <v>215.69</v>
      </c>
      <c r="J1011" s="6">
        <v>149.49</v>
      </c>
      <c r="K1011" s="6">
        <v>66.2</v>
      </c>
      <c r="L1011" s="4" t="str">
        <f t="shared" si="1"/>
        <v>Nov-2025</v>
      </c>
    </row>
    <row r="1012" ht="15.75" customHeight="1">
      <c r="A1012" s="4" t="s">
        <v>1334</v>
      </c>
      <c r="B1012" s="5">
        <v>45970.0</v>
      </c>
      <c r="C1012" s="4" t="s">
        <v>18</v>
      </c>
      <c r="D1012" s="4" t="s">
        <v>19</v>
      </c>
      <c r="E1012" s="4" t="s">
        <v>15</v>
      </c>
      <c r="F1012" s="4" t="s">
        <v>926</v>
      </c>
      <c r="G1012" s="4">
        <v>5.0</v>
      </c>
      <c r="H1012" s="6">
        <v>31860.66</v>
      </c>
      <c r="I1012" s="6">
        <v>159303.3</v>
      </c>
      <c r="J1012" s="6">
        <v>137795.48</v>
      </c>
      <c r="K1012" s="6">
        <v>21507.82</v>
      </c>
      <c r="L1012" s="4" t="str">
        <f t="shared" si="1"/>
        <v>Nov-2025</v>
      </c>
    </row>
    <row r="1013" ht="15.75" customHeight="1">
      <c r="A1013" s="4" t="s">
        <v>1335</v>
      </c>
      <c r="B1013" s="5">
        <v>45970.0</v>
      </c>
      <c r="C1013" s="4" t="s">
        <v>18</v>
      </c>
      <c r="D1013" s="4" t="s">
        <v>19</v>
      </c>
      <c r="E1013" s="4" t="s">
        <v>25</v>
      </c>
      <c r="F1013" s="4" t="s">
        <v>143</v>
      </c>
      <c r="G1013" s="4">
        <v>6.0</v>
      </c>
      <c r="H1013" s="6">
        <v>45253.17</v>
      </c>
      <c r="I1013" s="6">
        <v>271519.02</v>
      </c>
      <c r="J1013" s="6">
        <v>246899.97</v>
      </c>
      <c r="K1013" s="6">
        <v>24619.05</v>
      </c>
      <c r="L1013" s="4" t="str">
        <f t="shared" si="1"/>
        <v>Nov-2025</v>
      </c>
    </row>
    <row r="1014" ht="15.75" customHeight="1">
      <c r="A1014" s="4" t="s">
        <v>1336</v>
      </c>
      <c r="B1014" s="5">
        <v>45970.0</v>
      </c>
      <c r="C1014" s="4" t="s">
        <v>66</v>
      </c>
      <c r="D1014" s="4" t="s">
        <v>42</v>
      </c>
      <c r="E1014" s="4" t="s">
        <v>29</v>
      </c>
      <c r="F1014" s="4" t="s">
        <v>362</v>
      </c>
      <c r="G1014" s="4">
        <v>5.0</v>
      </c>
      <c r="H1014" s="6">
        <v>1854.89</v>
      </c>
      <c r="I1014" s="6">
        <v>9274.45</v>
      </c>
      <c r="J1014" s="6">
        <v>7352.39</v>
      </c>
      <c r="K1014" s="6">
        <v>1922.06</v>
      </c>
      <c r="L1014" s="4" t="str">
        <f t="shared" si="1"/>
        <v>Nov-2025</v>
      </c>
    </row>
    <row r="1015" ht="15.75" customHeight="1">
      <c r="A1015" s="4" t="s">
        <v>1337</v>
      </c>
      <c r="B1015" s="5">
        <v>45970.0</v>
      </c>
      <c r="C1015" s="4" t="s">
        <v>69</v>
      </c>
      <c r="D1015" s="4" t="s">
        <v>19</v>
      </c>
      <c r="E1015" s="4" t="s">
        <v>29</v>
      </c>
      <c r="F1015" s="4" t="s">
        <v>346</v>
      </c>
      <c r="G1015" s="4">
        <v>7.0</v>
      </c>
      <c r="H1015" s="6">
        <v>24014.45</v>
      </c>
      <c r="I1015" s="6">
        <v>168101.15</v>
      </c>
      <c r="J1015" s="6">
        <v>135786.12</v>
      </c>
      <c r="K1015" s="6">
        <v>32315.03</v>
      </c>
      <c r="L1015" s="4" t="str">
        <f t="shared" si="1"/>
        <v>Nov-2025</v>
      </c>
    </row>
    <row r="1016" ht="15.75" customHeight="1">
      <c r="A1016" s="4" t="s">
        <v>1338</v>
      </c>
      <c r="B1016" s="5">
        <v>45970.0</v>
      </c>
      <c r="C1016" s="4" t="s">
        <v>69</v>
      </c>
      <c r="D1016" s="4" t="s">
        <v>19</v>
      </c>
      <c r="E1016" s="4" t="s">
        <v>29</v>
      </c>
      <c r="F1016" s="4" t="s">
        <v>518</v>
      </c>
      <c r="G1016" s="4">
        <v>2.0</v>
      </c>
      <c r="H1016" s="6">
        <v>36965.55</v>
      </c>
      <c r="I1016" s="6">
        <v>73931.1</v>
      </c>
      <c r="J1016" s="6">
        <v>59629.53</v>
      </c>
      <c r="K1016" s="6">
        <v>14301.57</v>
      </c>
      <c r="L1016" s="4" t="str">
        <f t="shared" si="1"/>
        <v>Nov-2025</v>
      </c>
    </row>
    <row r="1017" ht="15.75" customHeight="1">
      <c r="A1017" s="4" t="s">
        <v>1339</v>
      </c>
      <c r="B1017" s="5">
        <v>45972.0</v>
      </c>
      <c r="C1017" s="4" t="s">
        <v>47</v>
      </c>
      <c r="D1017" s="4" t="s">
        <v>14</v>
      </c>
      <c r="E1017" s="4" t="s">
        <v>20</v>
      </c>
      <c r="F1017" s="4" t="s">
        <v>26</v>
      </c>
      <c r="G1017" s="4">
        <v>6.0</v>
      </c>
      <c r="H1017" s="6">
        <v>338.02</v>
      </c>
      <c r="I1017" s="6">
        <v>2028.12</v>
      </c>
      <c r="J1017" s="6">
        <v>1596.25</v>
      </c>
      <c r="K1017" s="6">
        <v>431.87</v>
      </c>
      <c r="L1017" s="4" t="str">
        <f t="shared" si="1"/>
        <v>Nov-2025</v>
      </c>
    </row>
    <row r="1018" ht="15.75" customHeight="1">
      <c r="A1018" s="4" t="s">
        <v>1340</v>
      </c>
      <c r="B1018" s="5">
        <v>45973.0</v>
      </c>
      <c r="C1018" s="4" t="s">
        <v>69</v>
      </c>
      <c r="D1018" s="4" t="s">
        <v>19</v>
      </c>
      <c r="E1018" s="4" t="s">
        <v>20</v>
      </c>
      <c r="F1018" s="4" t="s">
        <v>596</v>
      </c>
      <c r="G1018" s="4">
        <v>2.0</v>
      </c>
      <c r="H1018" s="6">
        <v>17468.2</v>
      </c>
      <c r="I1018" s="6">
        <v>34936.4</v>
      </c>
      <c r="J1018" s="6">
        <v>28741.03</v>
      </c>
      <c r="K1018" s="6">
        <v>6195.37</v>
      </c>
      <c r="L1018" s="4" t="str">
        <f t="shared" si="1"/>
        <v>Nov-2025</v>
      </c>
    </row>
    <row r="1019" ht="15.75" customHeight="1">
      <c r="A1019" s="4" t="s">
        <v>1341</v>
      </c>
      <c r="B1019" s="5">
        <v>45973.0</v>
      </c>
      <c r="C1019" s="4" t="s">
        <v>109</v>
      </c>
      <c r="D1019" s="4" t="s">
        <v>42</v>
      </c>
      <c r="E1019" s="4" t="s">
        <v>25</v>
      </c>
      <c r="F1019" s="4" t="s">
        <v>463</v>
      </c>
      <c r="G1019" s="4">
        <v>4.0</v>
      </c>
      <c r="H1019" s="6">
        <v>2881.79</v>
      </c>
      <c r="I1019" s="6">
        <v>11527.16</v>
      </c>
      <c r="J1019" s="6">
        <v>9761.93</v>
      </c>
      <c r="K1019" s="6">
        <v>1765.23</v>
      </c>
      <c r="L1019" s="4" t="str">
        <f t="shared" si="1"/>
        <v>Nov-2025</v>
      </c>
    </row>
    <row r="1020" ht="15.75" customHeight="1">
      <c r="A1020" s="4" t="s">
        <v>1342</v>
      </c>
      <c r="B1020" s="5">
        <v>45973.0</v>
      </c>
      <c r="C1020" s="4" t="s">
        <v>13</v>
      </c>
      <c r="D1020" s="4" t="s">
        <v>14</v>
      </c>
      <c r="E1020" s="4" t="s">
        <v>29</v>
      </c>
      <c r="F1020" s="4" t="s">
        <v>203</v>
      </c>
      <c r="G1020" s="4">
        <v>2.0</v>
      </c>
      <c r="H1020" s="6">
        <v>1221.36</v>
      </c>
      <c r="I1020" s="6">
        <v>2442.72</v>
      </c>
      <c r="J1020" s="6">
        <v>1785.82</v>
      </c>
      <c r="K1020" s="6">
        <v>656.9</v>
      </c>
      <c r="L1020" s="4" t="str">
        <f t="shared" si="1"/>
        <v>Nov-2025</v>
      </c>
    </row>
    <row r="1021" ht="15.75" customHeight="1">
      <c r="A1021" s="4" t="s">
        <v>1343</v>
      </c>
      <c r="B1021" s="5">
        <v>45973.0</v>
      </c>
      <c r="C1021" s="4" t="s">
        <v>61</v>
      </c>
      <c r="D1021" s="4" t="s">
        <v>19</v>
      </c>
      <c r="E1021" s="4" t="s">
        <v>25</v>
      </c>
      <c r="F1021" s="4" t="s">
        <v>891</v>
      </c>
      <c r="G1021" s="4">
        <v>1.0</v>
      </c>
      <c r="H1021" s="6">
        <v>17859.94</v>
      </c>
      <c r="I1021" s="6">
        <v>17859.94</v>
      </c>
      <c r="J1021" s="6">
        <v>15325.37</v>
      </c>
      <c r="K1021" s="6">
        <v>2534.57</v>
      </c>
      <c r="L1021" s="4" t="str">
        <f t="shared" si="1"/>
        <v>Nov-2025</v>
      </c>
    </row>
    <row r="1022" ht="15.75" customHeight="1">
      <c r="A1022" s="4" t="s">
        <v>1344</v>
      </c>
      <c r="B1022" s="5">
        <v>45974.0</v>
      </c>
      <c r="C1022" s="4" t="s">
        <v>18</v>
      </c>
      <c r="D1022" s="4" t="s">
        <v>19</v>
      </c>
      <c r="E1022" s="4" t="s">
        <v>29</v>
      </c>
      <c r="F1022" s="4" t="s">
        <v>215</v>
      </c>
      <c r="G1022" s="4">
        <v>6.0</v>
      </c>
      <c r="H1022" s="6">
        <v>12903.11</v>
      </c>
      <c r="I1022" s="6">
        <v>77418.66</v>
      </c>
      <c r="J1022" s="6">
        <v>68910.0</v>
      </c>
      <c r="K1022" s="6">
        <v>8508.66</v>
      </c>
      <c r="L1022" s="4" t="str">
        <f t="shared" si="1"/>
        <v>Nov-2025</v>
      </c>
    </row>
    <row r="1023" ht="15.75" customHeight="1">
      <c r="A1023" s="4" t="s">
        <v>1345</v>
      </c>
      <c r="B1023" s="5">
        <v>45975.0</v>
      </c>
      <c r="C1023" s="4" t="s">
        <v>72</v>
      </c>
      <c r="D1023" s="4" t="s">
        <v>24</v>
      </c>
      <c r="E1023" s="4" t="s">
        <v>15</v>
      </c>
      <c r="F1023" s="4" t="s">
        <v>954</v>
      </c>
      <c r="G1023" s="4">
        <v>3.0</v>
      </c>
      <c r="H1023" s="6">
        <v>10990.1</v>
      </c>
      <c r="I1023" s="6">
        <v>32970.3</v>
      </c>
      <c r="J1023" s="6">
        <v>27257.02</v>
      </c>
      <c r="K1023" s="6">
        <v>5713.28</v>
      </c>
      <c r="L1023" s="4" t="str">
        <f t="shared" si="1"/>
        <v>Nov-2025</v>
      </c>
    </row>
    <row r="1024" ht="15.75" customHeight="1">
      <c r="A1024" s="4" t="s">
        <v>1346</v>
      </c>
      <c r="B1024" s="5">
        <v>45975.0</v>
      </c>
      <c r="C1024" s="4" t="s">
        <v>75</v>
      </c>
      <c r="D1024" s="4" t="s">
        <v>24</v>
      </c>
      <c r="E1024" s="4" t="s">
        <v>25</v>
      </c>
      <c r="F1024" s="4" t="s">
        <v>507</v>
      </c>
      <c r="G1024" s="4">
        <v>5.0</v>
      </c>
      <c r="H1024" s="6">
        <v>1863.26</v>
      </c>
      <c r="I1024" s="6">
        <v>9316.3</v>
      </c>
      <c r="J1024" s="6">
        <v>6974.95</v>
      </c>
      <c r="K1024" s="6">
        <v>2341.35</v>
      </c>
      <c r="L1024" s="4" t="str">
        <f t="shared" si="1"/>
        <v>Nov-2025</v>
      </c>
    </row>
    <row r="1025" ht="15.75" customHeight="1">
      <c r="A1025" s="4" t="s">
        <v>1347</v>
      </c>
      <c r="B1025" s="5">
        <v>45975.0</v>
      </c>
      <c r="C1025" s="4" t="s">
        <v>102</v>
      </c>
      <c r="D1025" s="4" t="s">
        <v>24</v>
      </c>
      <c r="E1025" s="4" t="s">
        <v>20</v>
      </c>
      <c r="F1025" s="4" t="s">
        <v>138</v>
      </c>
      <c r="G1025" s="4">
        <v>3.0</v>
      </c>
      <c r="H1025" s="6">
        <v>13674.77</v>
      </c>
      <c r="I1025" s="6">
        <v>41024.31</v>
      </c>
      <c r="J1025" s="6">
        <v>35413.35</v>
      </c>
      <c r="K1025" s="6">
        <v>5610.96</v>
      </c>
      <c r="L1025" s="4" t="str">
        <f t="shared" si="1"/>
        <v>Nov-2025</v>
      </c>
    </row>
    <row r="1026" ht="15.75" customHeight="1">
      <c r="A1026" s="4" t="s">
        <v>1348</v>
      </c>
      <c r="B1026" s="5">
        <v>45975.0</v>
      </c>
      <c r="C1026" s="4" t="s">
        <v>180</v>
      </c>
      <c r="D1026" s="4" t="s">
        <v>19</v>
      </c>
      <c r="E1026" s="4" t="s">
        <v>29</v>
      </c>
      <c r="F1026" s="4" t="s">
        <v>446</v>
      </c>
      <c r="G1026" s="4">
        <v>1.0</v>
      </c>
      <c r="H1026" s="6">
        <v>51886.69</v>
      </c>
      <c r="I1026" s="6">
        <v>51886.69</v>
      </c>
      <c r="J1026" s="6">
        <v>47373.42</v>
      </c>
      <c r="K1026" s="6">
        <v>4513.27</v>
      </c>
      <c r="L1026" s="4" t="str">
        <f t="shared" si="1"/>
        <v>Nov-2025</v>
      </c>
    </row>
    <row r="1027" ht="15.75" customHeight="1">
      <c r="A1027" s="4" t="s">
        <v>1349</v>
      </c>
      <c r="B1027" s="5">
        <v>45976.0</v>
      </c>
      <c r="C1027" s="4" t="s">
        <v>18</v>
      </c>
      <c r="D1027" s="4" t="s">
        <v>19</v>
      </c>
      <c r="E1027" s="4" t="s">
        <v>25</v>
      </c>
      <c r="F1027" s="4" t="s">
        <v>422</v>
      </c>
      <c r="G1027" s="4">
        <v>5.0</v>
      </c>
      <c r="H1027" s="6">
        <v>4039.64</v>
      </c>
      <c r="I1027" s="6">
        <v>20198.2</v>
      </c>
      <c r="J1027" s="6">
        <v>18008.8</v>
      </c>
      <c r="K1027" s="6">
        <v>2189.4</v>
      </c>
      <c r="L1027" s="4" t="str">
        <f t="shared" si="1"/>
        <v>Nov-2025</v>
      </c>
    </row>
    <row r="1028" ht="15.75" customHeight="1">
      <c r="A1028" s="4" t="s">
        <v>1350</v>
      </c>
      <c r="B1028" s="5">
        <v>45976.0</v>
      </c>
      <c r="C1028" s="4" t="s">
        <v>13</v>
      </c>
      <c r="D1028" s="4" t="s">
        <v>14</v>
      </c>
      <c r="E1028" s="4" t="s">
        <v>15</v>
      </c>
      <c r="F1028" s="4" t="s">
        <v>181</v>
      </c>
      <c r="G1028" s="4">
        <v>1.0</v>
      </c>
      <c r="H1028" s="6">
        <v>219.21</v>
      </c>
      <c r="I1028" s="6">
        <v>219.21</v>
      </c>
      <c r="J1028" s="6">
        <v>156.73</v>
      </c>
      <c r="K1028" s="6">
        <v>62.48</v>
      </c>
      <c r="L1028" s="4" t="str">
        <f t="shared" si="1"/>
        <v>Nov-2025</v>
      </c>
    </row>
    <row r="1029" ht="15.75" customHeight="1">
      <c r="A1029" s="4" t="s">
        <v>1351</v>
      </c>
      <c r="B1029" s="5">
        <v>45977.0</v>
      </c>
      <c r="C1029" s="4" t="s">
        <v>32</v>
      </c>
      <c r="D1029" s="4" t="s">
        <v>19</v>
      </c>
      <c r="E1029" s="4" t="s">
        <v>20</v>
      </c>
      <c r="F1029" s="4" t="s">
        <v>1002</v>
      </c>
      <c r="G1029" s="4">
        <v>1.0</v>
      </c>
      <c r="H1029" s="6">
        <v>14720.74</v>
      </c>
      <c r="I1029" s="6">
        <v>14720.74</v>
      </c>
      <c r="J1029" s="6">
        <v>13504.84</v>
      </c>
      <c r="K1029" s="6">
        <v>1215.9</v>
      </c>
      <c r="L1029" s="4" t="str">
        <f t="shared" si="1"/>
        <v>Nov-2025</v>
      </c>
    </row>
    <row r="1030" ht="15.75" customHeight="1">
      <c r="A1030" s="4" t="s">
        <v>1352</v>
      </c>
      <c r="B1030" s="5">
        <v>45977.0</v>
      </c>
      <c r="C1030" s="4" t="s">
        <v>180</v>
      </c>
      <c r="D1030" s="4" t="s">
        <v>19</v>
      </c>
      <c r="E1030" s="4" t="s">
        <v>29</v>
      </c>
      <c r="F1030" s="4" t="s">
        <v>369</v>
      </c>
      <c r="G1030" s="4">
        <v>3.0</v>
      </c>
      <c r="H1030" s="6">
        <v>44025.49</v>
      </c>
      <c r="I1030" s="6">
        <v>132076.47</v>
      </c>
      <c r="J1030" s="6">
        <v>120384.95</v>
      </c>
      <c r="K1030" s="6">
        <v>11691.52</v>
      </c>
      <c r="L1030" s="4" t="str">
        <f t="shared" si="1"/>
        <v>Nov-2025</v>
      </c>
    </row>
    <row r="1031" ht="15.75" customHeight="1">
      <c r="A1031" s="4" t="s">
        <v>1353</v>
      </c>
      <c r="B1031" s="5">
        <v>45977.0</v>
      </c>
      <c r="C1031" s="4" t="s">
        <v>35</v>
      </c>
      <c r="D1031" s="4" t="s">
        <v>14</v>
      </c>
      <c r="E1031" s="4" t="s">
        <v>25</v>
      </c>
      <c r="F1031" s="4" t="s">
        <v>615</v>
      </c>
      <c r="G1031" s="4">
        <v>4.0</v>
      </c>
      <c r="H1031" s="6">
        <v>1216.43</v>
      </c>
      <c r="I1031" s="6">
        <v>4865.72</v>
      </c>
      <c r="J1031" s="6">
        <v>3343.89</v>
      </c>
      <c r="K1031" s="6">
        <v>1521.83</v>
      </c>
      <c r="L1031" s="4" t="str">
        <f t="shared" si="1"/>
        <v>Nov-2025</v>
      </c>
    </row>
    <row r="1032" ht="15.75" customHeight="1">
      <c r="A1032" s="4" t="s">
        <v>1354</v>
      </c>
      <c r="B1032" s="5">
        <v>45977.0</v>
      </c>
      <c r="C1032" s="4" t="s">
        <v>41</v>
      </c>
      <c r="D1032" s="4" t="s">
        <v>42</v>
      </c>
      <c r="E1032" s="4" t="s">
        <v>15</v>
      </c>
      <c r="F1032" s="4" t="s">
        <v>481</v>
      </c>
      <c r="G1032" s="4">
        <v>2.0</v>
      </c>
      <c r="H1032" s="6">
        <v>2273.65</v>
      </c>
      <c r="I1032" s="6">
        <v>4547.3</v>
      </c>
      <c r="J1032" s="6">
        <v>3693.52</v>
      </c>
      <c r="K1032" s="6">
        <v>853.78</v>
      </c>
      <c r="L1032" s="4" t="str">
        <f t="shared" si="1"/>
        <v>Nov-2025</v>
      </c>
    </row>
    <row r="1033" ht="15.75" customHeight="1">
      <c r="A1033" s="4" t="s">
        <v>1355</v>
      </c>
      <c r="B1033" s="5">
        <v>45978.0</v>
      </c>
      <c r="C1033" s="4" t="s">
        <v>35</v>
      </c>
      <c r="D1033" s="4" t="s">
        <v>14</v>
      </c>
      <c r="E1033" s="4" t="s">
        <v>15</v>
      </c>
      <c r="F1033" s="4" t="s">
        <v>638</v>
      </c>
      <c r="G1033" s="4">
        <v>6.0</v>
      </c>
      <c r="H1033" s="6">
        <v>555.62</v>
      </c>
      <c r="I1033" s="6">
        <v>3333.72</v>
      </c>
      <c r="J1033" s="6">
        <v>2634.62</v>
      </c>
      <c r="K1033" s="6">
        <v>699.1</v>
      </c>
      <c r="L1033" s="4" t="str">
        <f t="shared" si="1"/>
        <v>Nov-2025</v>
      </c>
    </row>
    <row r="1034" ht="15.75" customHeight="1">
      <c r="A1034" s="4" t="s">
        <v>1356</v>
      </c>
      <c r="B1034" s="5">
        <v>45978.0</v>
      </c>
      <c r="C1034" s="4" t="s">
        <v>66</v>
      </c>
      <c r="D1034" s="4" t="s">
        <v>42</v>
      </c>
      <c r="E1034" s="4" t="s">
        <v>29</v>
      </c>
      <c r="F1034" s="4" t="s">
        <v>735</v>
      </c>
      <c r="G1034" s="4">
        <v>5.0</v>
      </c>
      <c r="H1034" s="6">
        <v>1996.67</v>
      </c>
      <c r="I1034" s="6">
        <v>9983.35</v>
      </c>
      <c r="J1034" s="6">
        <v>8721.4</v>
      </c>
      <c r="K1034" s="6">
        <v>1261.95</v>
      </c>
      <c r="L1034" s="4" t="str">
        <f t="shared" si="1"/>
        <v>Nov-2025</v>
      </c>
    </row>
    <row r="1035" ht="15.75" customHeight="1">
      <c r="A1035" s="4" t="s">
        <v>1357</v>
      </c>
      <c r="B1035" s="5">
        <v>45978.0</v>
      </c>
      <c r="C1035" s="4" t="s">
        <v>50</v>
      </c>
      <c r="D1035" s="4" t="s">
        <v>42</v>
      </c>
      <c r="E1035" s="4" t="s">
        <v>15</v>
      </c>
      <c r="F1035" s="4" t="s">
        <v>1106</v>
      </c>
      <c r="G1035" s="4">
        <v>5.0</v>
      </c>
      <c r="H1035" s="6">
        <v>3873.74</v>
      </c>
      <c r="I1035" s="6">
        <v>19368.7</v>
      </c>
      <c r="J1035" s="6">
        <v>17065.89</v>
      </c>
      <c r="K1035" s="6">
        <v>2302.81</v>
      </c>
      <c r="L1035" s="4" t="str">
        <f t="shared" si="1"/>
        <v>Nov-2025</v>
      </c>
    </row>
    <row r="1036" ht="15.75" customHeight="1">
      <c r="A1036" s="4" t="s">
        <v>1358</v>
      </c>
      <c r="B1036" s="5">
        <v>45978.0</v>
      </c>
      <c r="C1036" s="4" t="s">
        <v>32</v>
      </c>
      <c r="D1036" s="4" t="s">
        <v>19</v>
      </c>
      <c r="E1036" s="4" t="s">
        <v>29</v>
      </c>
      <c r="F1036" s="4" t="s">
        <v>295</v>
      </c>
      <c r="G1036" s="4">
        <v>3.0</v>
      </c>
      <c r="H1036" s="6">
        <v>24885.97</v>
      </c>
      <c r="I1036" s="6">
        <v>74657.91</v>
      </c>
      <c r="J1036" s="6">
        <v>62224.45</v>
      </c>
      <c r="K1036" s="6">
        <v>12433.46</v>
      </c>
      <c r="L1036" s="4" t="str">
        <f t="shared" si="1"/>
        <v>Nov-2025</v>
      </c>
    </row>
    <row r="1037" ht="15.75" customHeight="1">
      <c r="A1037" s="4" t="s">
        <v>1359</v>
      </c>
      <c r="B1037" s="5">
        <v>45979.0</v>
      </c>
      <c r="C1037" s="4" t="s">
        <v>75</v>
      </c>
      <c r="D1037" s="4" t="s">
        <v>24</v>
      </c>
      <c r="E1037" s="4" t="s">
        <v>20</v>
      </c>
      <c r="F1037" s="4" t="s">
        <v>250</v>
      </c>
      <c r="G1037" s="4">
        <v>4.0</v>
      </c>
      <c r="H1037" s="6">
        <v>9574.54</v>
      </c>
      <c r="I1037" s="6">
        <v>38298.16</v>
      </c>
      <c r="J1037" s="6">
        <v>28664.01</v>
      </c>
      <c r="K1037" s="6">
        <v>9634.15</v>
      </c>
      <c r="L1037" s="4" t="str">
        <f t="shared" si="1"/>
        <v>Nov-2025</v>
      </c>
    </row>
    <row r="1038" ht="15.75" customHeight="1">
      <c r="A1038" s="4" t="s">
        <v>1360</v>
      </c>
      <c r="B1038" s="5">
        <v>45979.0</v>
      </c>
      <c r="C1038" s="4" t="s">
        <v>75</v>
      </c>
      <c r="D1038" s="4" t="s">
        <v>24</v>
      </c>
      <c r="E1038" s="4" t="s">
        <v>25</v>
      </c>
      <c r="F1038" s="4" t="s">
        <v>789</v>
      </c>
      <c r="G1038" s="4">
        <v>6.0</v>
      </c>
      <c r="H1038" s="6">
        <v>8689.74</v>
      </c>
      <c r="I1038" s="6">
        <v>52138.44</v>
      </c>
      <c r="J1038" s="6">
        <v>43984.06</v>
      </c>
      <c r="K1038" s="6">
        <v>8154.38</v>
      </c>
      <c r="L1038" s="4" t="str">
        <f t="shared" si="1"/>
        <v>Nov-2025</v>
      </c>
    </row>
    <row r="1039" ht="15.75" customHeight="1">
      <c r="A1039" s="4" t="s">
        <v>1361</v>
      </c>
      <c r="B1039" s="5">
        <v>45979.0</v>
      </c>
      <c r="C1039" s="4" t="s">
        <v>47</v>
      </c>
      <c r="D1039" s="4" t="s">
        <v>14</v>
      </c>
      <c r="E1039" s="4" t="s">
        <v>29</v>
      </c>
      <c r="F1039" s="4" t="s">
        <v>725</v>
      </c>
      <c r="G1039" s="4">
        <v>2.0</v>
      </c>
      <c r="H1039" s="6">
        <v>1123.82</v>
      </c>
      <c r="I1039" s="6">
        <v>2247.64</v>
      </c>
      <c r="J1039" s="6">
        <v>1642.02</v>
      </c>
      <c r="K1039" s="6">
        <v>605.62</v>
      </c>
      <c r="L1039" s="4" t="str">
        <f t="shared" si="1"/>
        <v>Nov-2025</v>
      </c>
    </row>
    <row r="1040" ht="15.75" customHeight="1">
      <c r="A1040" s="4" t="s">
        <v>1362</v>
      </c>
      <c r="B1040" s="5">
        <v>45979.0</v>
      </c>
      <c r="C1040" s="4" t="s">
        <v>69</v>
      </c>
      <c r="D1040" s="4" t="s">
        <v>19</v>
      </c>
      <c r="E1040" s="4" t="s">
        <v>29</v>
      </c>
      <c r="F1040" s="4" t="s">
        <v>93</v>
      </c>
      <c r="G1040" s="4">
        <v>3.0</v>
      </c>
      <c r="H1040" s="6">
        <v>56793.94</v>
      </c>
      <c r="I1040" s="6">
        <v>170381.82</v>
      </c>
      <c r="J1040" s="6">
        <v>154647.07</v>
      </c>
      <c r="K1040" s="6">
        <v>15734.75</v>
      </c>
      <c r="L1040" s="4" t="str">
        <f t="shared" si="1"/>
        <v>Nov-2025</v>
      </c>
    </row>
    <row r="1041" ht="15.75" customHeight="1">
      <c r="A1041" s="4" t="s">
        <v>1363</v>
      </c>
      <c r="B1041" s="5">
        <v>45980.0</v>
      </c>
      <c r="C1041" s="4" t="s">
        <v>28</v>
      </c>
      <c r="D1041" s="4" t="s">
        <v>14</v>
      </c>
      <c r="E1041" s="4" t="s">
        <v>20</v>
      </c>
      <c r="F1041" s="4" t="s">
        <v>270</v>
      </c>
      <c r="G1041" s="4">
        <v>6.0</v>
      </c>
      <c r="H1041" s="6">
        <v>782.76</v>
      </c>
      <c r="I1041" s="6">
        <v>4696.56</v>
      </c>
      <c r="J1041" s="6">
        <v>3396.76</v>
      </c>
      <c r="K1041" s="6">
        <v>1299.8</v>
      </c>
      <c r="L1041" s="4" t="str">
        <f t="shared" si="1"/>
        <v>Nov-2025</v>
      </c>
    </row>
    <row r="1042" ht="15.75" customHeight="1">
      <c r="A1042" s="4" t="s">
        <v>1364</v>
      </c>
      <c r="B1042" s="5">
        <v>45980.0</v>
      </c>
      <c r="C1042" s="4" t="s">
        <v>47</v>
      </c>
      <c r="D1042" s="4" t="s">
        <v>14</v>
      </c>
      <c r="E1042" s="4" t="s">
        <v>25</v>
      </c>
      <c r="F1042" s="4" t="s">
        <v>121</v>
      </c>
      <c r="G1042" s="4">
        <v>3.0</v>
      </c>
      <c r="H1042" s="6">
        <v>1030.24</v>
      </c>
      <c r="I1042" s="6">
        <v>3090.72</v>
      </c>
      <c r="J1042" s="6">
        <v>2462.7</v>
      </c>
      <c r="K1042" s="6">
        <v>628.02</v>
      </c>
      <c r="L1042" s="4" t="str">
        <f t="shared" si="1"/>
        <v>Nov-2025</v>
      </c>
    </row>
    <row r="1043" ht="15.75" customHeight="1">
      <c r="A1043" s="4" t="s">
        <v>1365</v>
      </c>
      <c r="B1043" s="5">
        <v>45980.0</v>
      </c>
      <c r="C1043" s="4" t="s">
        <v>92</v>
      </c>
      <c r="D1043" s="4" t="s">
        <v>14</v>
      </c>
      <c r="E1043" s="4" t="s">
        <v>29</v>
      </c>
      <c r="F1043" s="4" t="s">
        <v>48</v>
      </c>
      <c r="G1043" s="4">
        <v>3.0</v>
      </c>
      <c r="H1043" s="6">
        <v>1468.61</v>
      </c>
      <c r="I1043" s="6">
        <v>4405.83</v>
      </c>
      <c r="J1043" s="6">
        <v>3199.41</v>
      </c>
      <c r="K1043" s="6">
        <v>1206.42</v>
      </c>
      <c r="L1043" s="4" t="str">
        <f t="shared" si="1"/>
        <v>Nov-2025</v>
      </c>
    </row>
    <row r="1044" ht="15.75" customHeight="1">
      <c r="A1044" s="4" t="s">
        <v>1366</v>
      </c>
      <c r="B1044" s="5">
        <v>45980.0</v>
      </c>
      <c r="C1044" s="4" t="s">
        <v>47</v>
      </c>
      <c r="D1044" s="4" t="s">
        <v>14</v>
      </c>
      <c r="E1044" s="4" t="s">
        <v>20</v>
      </c>
      <c r="F1044" s="4" t="s">
        <v>626</v>
      </c>
      <c r="G1044" s="4">
        <v>3.0</v>
      </c>
      <c r="H1044" s="6">
        <v>645.37</v>
      </c>
      <c r="I1044" s="6">
        <v>1936.11</v>
      </c>
      <c r="J1044" s="6">
        <v>1420.0</v>
      </c>
      <c r="K1044" s="6">
        <v>516.11</v>
      </c>
      <c r="L1044" s="4" t="str">
        <f t="shared" si="1"/>
        <v>Nov-2025</v>
      </c>
    </row>
    <row r="1045" ht="15.75" customHeight="1">
      <c r="A1045" s="4" t="s">
        <v>1367</v>
      </c>
      <c r="B1045" s="5">
        <v>45980.0</v>
      </c>
      <c r="C1045" s="4" t="s">
        <v>66</v>
      </c>
      <c r="D1045" s="4" t="s">
        <v>42</v>
      </c>
      <c r="E1045" s="4" t="s">
        <v>15</v>
      </c>
      <c r="F1045" s="4" t="s">
        <v>418</v>
      </c>
      <c r="G1045" s="4">
        <v>2.0</v>
      </c>
      <c r="H1045" s="6">
        <v>3152.03</v>
      </c>
      <c r="I1045" s="6">
        <v>6304.06</v>
      </c>
      <c r="J1045" s="6">
        <v>4844.0</v>
      </c>
      <c r="K1045" s="6">
        <v>1460.06</v>
      </c>
      <c r="L1045" s="4" t="str">
        <f t="shared" si="1"/>
        <v>Nov-2025</v>
      </c>
    </row>
    <row r="1046" ht="15.75" customHeight="1">
      <c r="A1046" s="4" t="s">
        <v>1368</v>
      </c>
      <c r="B1046" s="5">
        <v>45980.0</v>
      </c>
      <c r="C1046" s="4" t="s">
        <v>155</v>
      </c>
      <c r="D1046" s="4" t="s">
        <v>24</v>
      </c>
      <c r="E1046" s="4" t="s">
        <v>25</v>
      </c>
      <c r="F1046" s="4" t="s">
        <v>444</v>
      </c>
      <c r="G1046" s="4">
        <v>2.0</v>
      </c>
      <c r="H1046" s="6">
        <v>17721.58</v>
      </c>
      <c r="I1046" s="6">
        <v>35443.16</v>
      </c>
      <c r="J1046" s="6">
        <v>26359.56</v>
      </c>
      <c r="K1046" s="6">
        <v>9083.6</v>
      </c>
      <c r="L1046" s="4" t="str">
        <f t="shared" si="1"/>
        <v>Nov-2025</v>
      </c>
    </row>
    <row r="1047" ht="15.75" customHeight="1">
      <c r="A1047" s="4" t="s">
        <v>1369</v>
      </c>
      <c r="B1047" s="5">
        <v>45981.0</v>
      </c>
      <c r="C1047" s="4" t="s">
        <v>69</v>
      </c>
      <c r="D1047" s="4" t="s">
        <v>19</v>
      </c>
      <c r="E1047" s="4" t="s">
        <v>25</v>
      </c>
      <c r="F1047" s="4" t="s">
        <v>16</v>
      </c>
      <c r="G1047" s="4">
        <v>1.0</v>
      </c>
      <c r="H1047" s="6">
        <v>55429.54</v>
      </c>
      <c r="I1047" s="6">
        <v>55429.54</v>
      </c>
      <c r="J1047" s="6">
        <v>47470.92</v>
      </c>
      <c r="K1047" s="6">
        <v>7958.62</v>
      </c>
      <c r="L1047" s="4" t="str">
        <f t="shared" si="1"/>
        <v>Nov-2025</v>
      </c>
    </row>
    <row r="1048" ht="15.75" customHeight="1">
      <c r="A1048" s="4" t="s">
        <v>1370</v>
      </c>
      <c r="B1048" s="5">
        <v>45981.0</v>
      </c>
      <c r="C1048" s="4" t="s">
        <v>69</v>
      </c>
      <c r="D1048" s="4" t="s">
        <v>19</v>
      </c>
      <c r="E1048" s="4" t="s">
        <v>15</v>
      </c>
      <c r="F1048" s="4" t="s">
        <v>713</v>
      </c>
      <c r="G1048" s="4">
        <v>4.0</v>
      </c>
      <c r="H1048" s="6">
        <v>68117.87</v>
      </c>
      <c r="I1048" s="6">
        <v>272471.48</v>
      </c>
      <c r="J1048" s="6">
        <v>245563.82</v>
      </c>
      <c r="K1048" s="6">
        <v>26907.66</v>
      </c>
      <c r="L1048" s="4" t="str">
        <f t="shared" si="1"/>
        <v>Nov-2025</v>
      </c>
    </row>
    <row r="1049" ht="15.75" customHeight="1">
      <c r="A1049" s="4" t="s">
        <v>1371</v>
      </c>
      <c r="B1049" s="5">
        <v>45981.0</v>
      </c>
      <c r="C1049" s="4" t="s">
        <v>140</v>
      </c>
      <c r="D1049" s="4" t="s">
        <v>14</v>
      </c>
      <c r="E1049" s="4" t="s">
        <v>15</v>
      </c>
      <c r="F1049" s="4" t="s">
        <v>147</v>
      </c>
      <c r="G1049" s="4">
        <v>5.0</v>
      </c>
      <c r="H1049" s="6">
        <v>831.52</v>
      </c>
      <c r="I1049" s="6">
        <v>4157.6</v>
      </c>
      <c r="J1049" s="6">
        <v>3036.71</v>
      </c>
      <c r="K1049" s="6">
        <v>1120.89</v>
      </c>
      <c r="L1049" s="4" t="str">
        <f t="shared" si="1"/>
        <v>Nov-2025</v>
      </c>
    </row>
    <row r="1050" ht="15.75" customHeight="1">
      <c r="A1050" s="4" t="s">
        <v>1372</v>
      </c>
      <c r="B1050" s="5">
        <v>45981.0</v>
      </c>
      <c r="C1050" s="4" t="s">
        <v>32</v>
      </c>
      <c r="D1050" s="4" t="s">
        <v>19</v>
      </c>
      <c r="E1050" s="4" t="s">
        <v>29</v>
      </c>
      <c r="F1050" s="4" t="s">
        <v>282</v>
      </c>
      <c r="G1050" s="4">
        <v>4.0</v>
      </c>
      <c r="H1050" s="6">
        <v>41894.95</v>
      </c>
      <c r="I1050" s="6">
        <v>167579.8</v>
      </c>
      <c r="J1050" s="6">
        <v>146475.61</v>
      </c>
      <c r="K1050" s="6">
        <v>21104.19</v>
      </c>
      <c r="L1050" s="4" t="str">
        <f t="shared" si="1"/>
        <v>Nov-2025</v>
      </c>
    </row>
    <row r="1051" ht="15.75" customHeight="1">
      <c r="A1051" s="4" t="s">
        <v>1373</v>
      </c>
      <c r="B1051" s="5">
        <v>45981.0</v>
      </c>
      <c r="C1051" s="4" t="s">
        <v>69</v>
      </c>
      <c r="D1051" s="4" t="s">
        <v>19</v>
      </c>
      <c r="E1051" s="4" t="s">
        <v>25</v>
      </c>
      <c r="F1051" s="4" t="s">
        <v>780</v>
      </c>
      <c r="G1051" s="4">
        <v>3.0</v>
      </c>
      <c r="H1051" s="6">
        <v>38413.5</v>
      </c>
      <c r="I1051" s="6">
        <v>115240.5</v>
      </c>
      <c r="J1051" s="6">
        <v>100359.56</v>
      </c>
      <c r="K1051" s="6">
        <v>14880.94</v>
      </c>
      <c r="L1051" s="4" t="str">
        <f t="shared" si="1"/>
        <v>Nov-2025</v>
      </c>
    </row>
    <row r="1052" ht="15.75" customHeight="1">
      <c r="A1052" s="4" t="s">
        <v>1374</v>
      </c>
      <c r="B1052" s="5">
        <v>45981.0</v>
      </c>
      <c r="C1052" s="4" t="s">
        <v>41</v>
      </c>
      <c r="D1052" s="4" t="s">
        <v>42</v>
      </c>
      <c r="E1052" s="4" t="s">
        <v>25</v>
      </c>
      <c r="F1052" s="4" t="s">
        <v>80</v>
      </c>
      <c r="G1052" s="4">
        <v>6.0</v>
      </c>
      <c r="H1052" s="6">
        <v>1921.57</v>
      </c>
      <c r="I1052" s="6">
        <v>11529.42</v>
      </c>
      <c r="J1052" s="6">
        <v>9085.29</v>
      </c>
      <c r="K1052" s="6">
        <v>2444.13</v>
      </c>
      <c r="L1052" s="4" t="str">
        <f t="shared" si="1"/>
        <v>Nov-2025</v>
      </c>
    </row>
    <row r="1053" ht="15.75" customHeight="1">
      <c r="A1053" s="4" t="s">
        <v>1375</v>
      </c>
      <c r="B1053" s="5">
        <v>45981.0</v>
      </c>
      <c r="C1053" s="4" t="s">
        <v>75</v>
      </c>
      <c r="D1053" s="4" t="s">
        <v>24</v>
      </c>
      <c r="E1053" s="4" t="s">
        <v>15</v>
      </c>
      <c r="F1053" s="4" t="s">
        <v>143</v>
      </c>
      <c r="G1053" s="4">
        <v>1.0</v>
      </c>
      <c r="H1053" s="6">
        <v>10331.07</v>
      </c>
      <c r="I1053" s="6">
        <v>10331.07</v>
      </c>
      <c r="J1053" s="6">
        <v>8536.59</v>
      </c>
      <c r="K1053" s="6">
        <v>1794.48</v>
      </c>
      <c r="L1053" s="4" t="str">
        <f t="shared" si="1"/>
        <v>Nov-2025</v>
      </c>
    </row>
    <row r="1054" ht="15.75" customHeight="1">
      <c r="A1054" s="4" t="s">
        <v>1376</v>
      </c>
      <c r="B1054" s="5">
        <v>45982.0</v>
      </c>
      <c r="C1054" s="4" t="s">
        <v>160</v>
      </c>
      <c r="D1054" s="4" t="s">
        <v>42</v>
      </c>
      <c r="E1054" s="4" t="s">
        <v>25</v>
      </c>
      <c r="F1054" s="4" t="s">
        <v>147</v>
      </c>
      <c r="G1054" s="4">
        <v>6.0</v>
      </c>
      <c r="H1054" s="6">
        <v>2687.93</v>
      </c>
      <c r="I1054" s="6">
        <v>16127.58</v>
      </c>
      <c r="J1054" s="6">
        <v>14090.07</v>
      </c>
      <c r="K1054" s="6">
        <v>2037.51</v>
      </c>
      <c r="L1054" s="4" t="str">
        <f t="shared" si="1"/>
        <v>Nov-2025</v>
      </c>
    </row>
    <row r="1055" ht="15.75" customHeight="1">
      <c r="A1055" s="4" t="s">
        <v>1377</v>
      </c>
      <c r="B1055" s="5">
        <v>45982.0</v>
      </c>
      <c r="C1055" s="4" t="s">
        <v>75</v>
      </c>
      <c r="D1055" s="4" t="s">
        <v>24</v>
      </c>
      <c r="E1055" s="4" t="s">
        <v>15</v>
      </c>
      <c r="F1055" s="4" t="s">
        <v>201</v>
      </c>
      <c r="G1055" s="4">
        <v>7.0</v>
      </c>
      <c r="H1055" s="6">
        <v>17035.55</v>
      </c>
      <c r="I1055" s="6">
        <v>119248.85</v>
      </c>
      <c r="J1055" s="6">
        <v>92796.52</v>
      </c>
      <c r="K1055" s="6">
        <v>26452.33</v>
      </c>
      <c r="L1055" s="4" t="str">
        <f t="shared" si="1"/>
        <v>Nov-2025</v>
      </c>
    </row>
    <row r="1056" ht="15.75" customHeight="1">
      <c r="A1056" s="4" t="s">
        <v>1378</v>
      </c>
      <c r="B1056" s="5">
        <v>45982.0</v>
      </c>
      <c r="C1056" s="4" t="s">
        <v>47</v>
      </c>
      <c r="D1056" s="4" t="s">
        <v>14</v>
      </c>
      <c r="E1056" s="4" t="s">
        <v>25</v>
      </c>
      <c r="F1056" s="4" t="s">
        <v>661</v>
      </c>
      <c r="G1056" s="4">
        <v>1.0</v>
      </c>
      <c r="H1056" s="6">
        <v>615.35</v>
      </c>
      <c r="I1056" s="6">
        <v>615.35</v>
      </c>
      <c r="J1056" s="6">
        <v>514.57</v>
      </c>
      <c r="K1056" s="6">
        <v>100.78</v>
      </c>
      <c r="L1056" s="4" t="str">
        <f t="shared" si="1"/>
        <v>Nov-2025</v>
      </c>
    </row>
    <row r="1057" ht="15.75" customHeight="1">
      <c r="A1057" s="4" t="s">
        <v>1379</v>
      </c>
      <c r="B1057" s="5">
        <v>45982.0</v>
      </c>
      <c r="C1057" s="4" t="s">
        <v>180</v>
      </c>
      <c r="D1057" s="4" t="s">
        <v>19</v>
      </c>
      <c r="E1057" s="4" t="s">
        <v>20</v>
      </c>
      <c r="F1057" s="4" t="s">
        <v>683</v>
      </c>
      <c r="G1057" s="4">
        <v>6.0</v>
      </c>
      <c r="H1057" s="6">
        <v>17095.73</v>
      </c>
      <c r="I1057" s="6">
        <v>102574.38</v>
      </c>
      <c r="J1057" s="6">
        <v>86029.54</v>
      </c>
      <c r="K1057" s="6">
        <v>16544.84</v>
      </c>
      <c r="L1057" s="4" t="str">
        <f t="shared" si="1"/>
        <v>Nov-2025</v>
      </c>
    </row>
    <row r="1058" ht="15.75" customHeight="1">
      <c r="A1058" s="4" t="s">
        <v>1380</v>
      </c>
      <c r="B1058" s="5">
        <v>45982.0</v>
      </c>
      <c r="C1058" s="4" t="s">
        <v>38</v>
      </c>
      <c r="D1058" s="4" t="s">
        <v>19</v>
      </c>
      <c r="E1058" s="4" t="s">
        <v>25</v>
      </c>
      <c r="F1058" s="4" t="s">
        <v>116</v>
      </c>
      <c r="G1058" s="4">
        <v>6.0</v>
      </c>
      <c r="H1058" s="6">
        <v>17179.32</v>
      </c>
      <c r="I1058" s="6">
        <v>103075.92</v>
      </c>
      <c r="J1058" s="6">
        <v>85750.55</v>
      </c>
      <c r="K1058" s="6">
        <v>17325.37</v>
      </c>
      <c r="L1058" s="4" t="str">
        <f t="shared" si="1"/>
        <v>Nov-2025</v>
      </c>
    </row>
    <row r="1059" ht="15.75" customHeight="1">
      <c r="A1059" s="4" t="s">
        <v>1381</v>
      </c>
      <c r="B1059" s="5">
        <v>45982.0</v>
      </c>
      <c r="C1059" s="4" t="s">
        <v>13</v>
      </c>
      <c r="D1059" s="4" t="s">
        <v>14</v>
      </c>
      <c r="E1059" s="4" t="s">
        <v>15</v>
      </c>
      <c r="F1059" s="4" t="s">
        <v>153</v>
      </c>
      <c r="G1059" s="4">
        <v>3.0</v>
      </c>
      <c r="H1059" s="6">
        <v>1278.66</v>
      </c>
      <c r="I1059" s="6">
        <v>3835.98</v>
      </c>
      <c r="J1059" s="6">
        <v>2668.95</v>
      </c>
      <c r="K1059" s="6">
        <v>1167.03</v>
      </c>
      <c r="L1059" s="4" t="str">
        <f t="shared" si="1"/>
        <v>Nov-2025</v>
      </c>
    </row>
    <row r="1060" ht="15.75" customHeight="1">
      <c r="A1060" s="4" t="s">
        <v>1382</v>
      </c>
      <c r="B1060" s="5">
        <v>45984.0</v>
      </c>
      <c r="C1060" s="4" t="s">
        <v>75</v>
      </c>
      <c r="D1060" s="4" t="s">
        <v>24</v>
      </c>
      <c r="E1060" s="4" t="s">
        <v>15</v>
      </c>
      <c r="F1060" s="4" t="s">
        <v>392</v>
      </c>
      <c r="G1060" s="4">
        <v>5.0</v>
      </c>
      <c r="H1060" s="6">
        <v>7573.6</v>
      </c>
      <c r="I1060" s="6">
        <v>37868.0</v>
      </c>
      <c r="J1060" s="6">
        <v>28478.06</v>
      </c>
      <c r="K1060" s="6">
        <v>9389.94</v>
      </c>
      <c r="L1060" s="4" t="str">
        <f t="shared" si="1"/>
        <v>Nov-2025</v>
      </c>
    </row>
    <row r="1061" ht="15.75" customHeight="1">
      <c r="A1061" s="4" t="s">
        <v>1383</v>
      </c>
      <c r="B1061" s="5">
        <v>45984.0</v>
      </c>
      <c r="C1061" s="4" t="s">
        <v>61</v>
      </c>
      <c r="D1061" s="4" t="s">
        <v>19</v>
      </c>
      <c r="E1061" s="4" t="s">
        <v>25</v>
      </c>
      <c r="F1061" s="4" t="s">
        <v>1260</v>
      </c>
      <c r="G1061" s="4">
        <v>1.0</v>
      </c>
      <c r="H1061" s="6">
        <v>15544.7</v>
      </c>
      <c r="I1061" s="6">
        <v>15544.7</v>
      </c>
      <c r="J1061" s="6">
        <v>14290.82</v>
      </c>
      <c r="K1061" s="6">
        <v>1253.88</v>
      </c>
      <c r="L1061" s="4" t="str">
        <f t="shared" si="1"/>
        <v>Nov-2025</v>
      </c>
    </row>
    <row r="1062" ht="15.75" customHeight="1">
      <c r="A1062" s="4" t="s">
        <v>1384</v>
      </c>
      <c r="B1062" s="5">
        <v>45986.0</v>
      </c>
      <c r="C1062" s="4" t="s">
        <v>61</v>
      </c>
      <c r="D1062" s="4" t="s">
        <v>19</v>
      </c>
      <c r="E1062" s="4" t="s">
        <v>29</v>
      </c>
      <c r="F1062" s="4" t="s">
        <v>976</v>
      </c>
      <c r="G1062" s="4">
        <v>5.0</v>
      </c>
      <c r="H1062" s="6">
        <v>7588.32</v>
      </c>
      <c r="I1062" s="6">
        <v>37941.6</v>
      </c>
      <c r="J1062" s="6">
        <v>30911.2</v>
      </c>
      <c r="K1062" s="6">
        <v>7030.4</v>
      </c>
      <c r="L1062" s="4" t="str">
        <f t="shared" si="1"/>
        <v>Nov-2025</v>
      </c>
    </row>
    <row r="1063" ht="15.75" customHeight="1">
      <c r="A1063" s="4" t="s">
        <v>1385</v>
      </c>
      <c r="B1063" s="5">
        <v>45986.0</v>
      </c>
      <c r="C1063" s="4" t="s">
        <v>13</v>
      </c>
      <c r="D1063" s="4" t="s">
        <v>14</v>
      </c>
      <c r="E1063" s="4" t="s">
        <v>25</v>
      </c>
      <c r="F1063" s="4" t="s">
        <v>492</v>
      </c>
      <c r="G1063" s="4">
        <v>2.0</v>
      </c>
      <c r="H1063" s="6">
        <v>65.12</v>
      </c>
      <c r="I1063" s="6">
        <v>130.24</v>
      </c>
      <c r="J1063" s="6">
        <v>109.17</v>
      </c>
      <c r="K1063" s="6">
        <v>21.07</v>
      </c>
      <c r="L1063" s="4" t="str">
        <f t="shared" si="1"/>
        <v>Nov-2025</v>
      </c>
    </row>
    <row r="1064" ht="15.75" customHeight="1">
      <c r="A1064" s="4" t="s">
        <v>1386</v>
      </c>
      <c r="B1064" s="5">
        <v>45987.0</v>
      </c>
      <c r="C1064" s="4" t="s">
        <v>50</v>
      </c>
      <c r="D1064" s="4" t="s">
        <v>42</v>
      </c>
      <c r="E1064" s="4" t="s">
        <v>20</v>
      </c>
      <c r="F1064" s="4" t="s">
        <v>213</v>
      </c>
      <c r="G1064" s="4">
        <v>1.0</v>
      </c>
      <c r="H1064" s="6">
        <v>4743.51</v>
      </c>
      <c r="I1064" s="6">
        <v>4743.51</v>
      </c>
      <c r="J1064" s="6">
        <v>3950.3</v>
      </c>
      <c r="K1064" s="6">
        <v>793.21</v>
      </c>
      <c r="L1064" s="4" t="str">
        <f t="shared" si="1"/>
        <v>Nov-2025</v>
      </c>
    </row>
    <row r="1065" ht="15.75" customHeight="1">
      <c r="A1065" s="4" t="s">
        <v>1387</v>
      </c>
      <c r="B1065" s="5">
        <v>45987.0</v>
      </c>
      <c r="C1065" s="4" t="s">
        <v>75</v>
      </c>
      <c r="D1065" s="4" t="s">
        <v>24</v>
      </c>
      <c r="E1065" s="4" t="s">
        <v>29</v>
      </c>
      <c r="F1065" s="4" t="s">
        <v>638</v>
      </c>
      <c r="G1065" s="4">
        <v>4.0</v>
      </c>
      <c r="H1065" s="6">
        <v>8643.05</v>
      </c>
      <c r="I1065" s="6">
        <v>34572.2</v>
      </c>
      <c r="J1065" s="6">
        <v>27698.59</v>
      </c>
      <c r="K1065" s="6">
        <v>6873.61</v>
      </c>
      <c r="L1065" s="4" t="str">
        <f t="shared" si="1"/>
        <v>Nov-2025</v>
      </c>
    </row>
    <row r="1066" ht="15.75" customHeight="1">
      <c r="A1066" s="4" t="s">
        <v>1388</v>
      </c>
      <c r="B1066" s="5">
        <v>45987.0</v>
      </c>
      <c r="C1066" s="4" t="s">
        <v>102</v>
      </c>
      <c r="D1066" s="4" t="s">
        <v>24</v>
      </c>
      <c r="E1066" s="4" t="s">
        <v>29</v>
      </c>
      <c r="F1066" s="4" t="s">
        <v>116</v>
      </c>
      <c r="G1066" s="4">
        <v>3.0</v>
      </c>
      <c r="H1066" s="6">
        <v>6941.95</v>
      </c>
      <c r="I1066" s="6">
        <v>20825.85</v>
      </c>
      <c r="J1066" s="6">
        <v>16660.57</v>
      </c>
      <c r="K1066" s="6">
        <v>4165.28</v>
      </c>
      <c r="L1066" s="4" t="str">
        <f t="shared" si="1"/>
        <v>Nov-2025</v>
      </c>
    </row>
    <row r="1067" ht="15.75" customHeight="1">
      <c r="A1067" s="4" t="s">
        <v>1389</v>
      </c>
      <c r="B1067" s="5">
        <v>45988.0</v>
      </c>
      <c r="C1067" s="4" t="s">
        <v>18</v>
      </c>
      <c r="D1067" s="4" t="s">
        <v>19</v>
      </c>
      <c r="E1067" s="4" t="s">
        <v>25</v>
      </c>
      <c r="F1067" s="4" t="s">
        <v>795</v>
      </c>
      <c r="G1067" s="4">
        <v>3.0</v>
      </c>
      <c r="H1067" s="6">
        <v>36196.98</v>
      </c>
      <c r="I1067" s="6">
        <v>108590.94</v>
      </c>
      <c r="J1067" s="6">
        <v>89024.16</v>
      </c>
      <c r="K1067" s="6">
        <v>19566.78</v>
      </c>
      <c r="L1067" s="4" t="str">
        <f t="shared" si="1"/>
        <v>Nov-2025</v>
      </c>
    </row>
    <row r="1068" ht="15.75" customHeight="1">
      <c r="A1068" s="4" t="s">
        <v>1390</v>
      </c>
      <c r="B1068" s="5">
        <v>45988.0</v>
      </c>
      <c r="C1068" s="4" t="s">
        <v>75</v>
      </c>
      <c r="D1068" s="4" t="s">
        <v>24</v>
      </c>
      <c r="E1068" s="4" t="s">
        <v>20</v>
      </c>
      <c r="F1068" s="4" t="s">
        <v>396</v>
      </c>
      <c r="G1068" s="4">
        <v>7.0</v>
      </c>
      <c r="H1068" s="6">
        <v>10523.65</v>
      </c>
      <c r="I1068" s="6">
        <v>73665.55</v>
      </c>
      <c r="J1068" s="6">
        <v>62742.34</v>
      </c>
      <c r="K1068" s="6">
        <v>10923.21</v>
      </c>
      <c r="L1068" s="4" t="str">
        <f t="shared" si="1"/>
        <v>Nov-2025</v>
      </c>
    </row>
    <row r="1069" ht="15.75" customHeight="1">
      <c r="A1069" s="4" t="s">
        <v>1391</v>
      </c>
      <c r="B1069" s="5">
        <v>45988.0</v>
      </c>
      <c r="C1069" s="4" t="s">
        <v>38</v>
      </c>
      <c r="D1069" s="4" t="s">
        <v>19</v>
      </c>
      <c r="E1069" s="4" t="s">
        <v>15</v>
      </c>
      <c r="F1069" s="4" t="s">
        <v>95</v>
      </c>
      <c r="G1069" s="4">
        <v>1.0</v>
      </c>
      <c r="H1069" s="6">
        <v>14838.33</v>
      </c>
      <c r="I1069" s="6">
        <v>14838.33</v>
      </c>
      <c r="J1069" s="6">
        <v>12368.55</v>
      </c>
      <c r="K1069" s="6">
        <v>2469.78</v>
      </c>
      <c r="L1069" s="4" t="str">
        <f t="shared" si="1"/>
        <v>Nov-2025</v>
      </c>
    </row>
    <row r="1070" ht="15.75" customHeight="1">
      <c r="A1070" s="4" t="s">
        <v>1392</v>
      </c>
      <c r="B1070" s="5">
        <v>45988.0</v>
      </c>
      <c r="C1070" s="4" t="s">
        <v>61</v>
      </c>
      <c r="D1070" s="4" t="s">
        <v>19</v>
      </c>
      <c r="E1070" s="4" t="s">
        <v>29</v>
      </c>
      <c r="F1070" s="4" t="s">
        <v>105</v>
      </c>
      <c r="G1070" s="4">
        <v>6.0</v>
      </c>
      <c r="H1070" s="6">
        <v>33982.43</v>
      </c>
      <c r="I1070" s="6">
        <v>203894.58</v>
      </c>
      <c r="J1070" s="6">
        <v>172888.06</v>
      </c>
      <c r="K1070" s="6">
        <v>31006.52</v>
      </c>
      <c r="L1070" s="4" t="str">
        <f t="shared" si="1"/>
        <v>Nov-2025</v>
      </c>
    </row>
    <row r="1071" ht="15.75" customHeight="1">
      <c r="A1071" s="4" t="s">
        <v>1393</v>
      </c>
      <c r="B1071" s="5">
        <v>45988.0</v>
      </c>
      <c r="C1071" s="4" t="s">
        <v>109</v>
      </c>
      <c r="D1071" s="4" t="s">
        <v>42</v>
      </c>
      <c r="E1071" s="4" t="s">
        <v>15</v>
      </c>
      <c r="F1071" s="4" t="s">
        <v>384</v>
      </c>
      <c r="G1071" s="4">
        <v>2.0</v>
      </c>
      <c r="H1071" s="6">
        <v>3606.74</v>
      </c>
      <c r="I1071" s="6">
        <v>7213.48</v>
      </c>
      <c r="J1071" s="6">
        <v>5876.21</v>
      </c>
      <c r="K1071" s="6">
        <v>1337.27</v>
      </c>
      <c r="L1071" s="4" t="str">
        <f t="shared" si="1"/>
        <v>Nov-2025</v>
      </c>
    </row>
    <row r="1072" ht="15.75" customHeight="1">
      <c r="A1072" s="4" t="s">
        <v>1394</v>
      </c>
      <c r="B1072" s="5">
        <v>45988.0</v>
      </c>
      <c r="C1072" s="4" t="s">
        <v>72</v>
      </c>
      <c r="D1072" s="4" t="s">
        <v>24</v>
      </c>
      <c r="E1072" s="4" t="s">
        <v>20</v>
      </c>
      <c r="F1072" s="4" t="s">
        <v>334</v>
      </c>
      <c r="G1072" s="4">
        <v>4.0</v>
      </c>
      <c r="H1072" s="6">
        <v>5997.94</v>
      </c>
      <c r="I1072" s="6">
        <v>23991.76</v>
      </c>
      <c r="J1072" s="6">
        <v>20834.99</v>
      </c>
      <c r="K1072" s="6">
        <v>3156.77</v>
      </c>
      <c r="L1072" s="4" t="str">
        <f t="shared" si="1"/>
        <v>Nov-2025</v>
      </c>
    </row>
    <row r="1073" ht="15.75" customHeight="1">
      <c r="A1073" s="4" t="s">
        <v>1395</v>
      </c>
      <c r="B1073" s="5">
        <v>45988.0</v>
      </c>
      <c r="C1073" s="4" t="s">
        <v>41</v>
      </c>
      <c r="D1073" s="4" t="s">
        <v>42</v>
      </c>
      <c r="E1073" s="4" t="s">
        <v>20</v>
      </c>
      <c r="F1073" s="4" t="s">
        <v>926</v>
      </c>
      <c r="G1073" s="4">
        <v>4.0</v>
      </c>
      <c r="H1073" s="6">
        <v>3502.54</v>
      </c>
      <c r="I1073" s="6">
        <v>14010.16</v>
      </c>
      <c r="J1073" s="6">
        <v>11713.7</v>
      </c>
      <c r="K1073" s="6">
        <v>2296.46</v>
      </c>
      <c r="L1073" s="4" t="str">
        <f t="shared" si="1"/>
        <v>Nov-2025</v>
      </c>
    </row>
    <row r="1074" ht="15.75" customHeight="1">
      <c r="A1074" s="4" t="s">
        <v>1396</v>
      </c>
      <c r="B1074" s="5">
        <v>45988.0</v>
      </c>
      <c r="C1074" s="4" t="s">
        <v>28</v>
      </c>
      <c r="D1074" s="4" t="s">
        <v>14</v>
      </c>
      <c r="E1074" s="4" t="s">
        <v>15</v>
      </c>
      <c r="F1074" s="4" t="s">
        <v>615</v>
      </c>
      <c r="G1074" s="4">
        <v>7.0</v>
      </c>
      <c r="H1074" s="6">
        <v>927.18</v>
      </c>
      <c r="I1074" s="6">
        <v>6490.26</v>
      </c>
      <c r="J1074" s="6">
        <v>4513.8</v>
      </c>
      <c r="K1074" s="6">
        <v>1976.46</v>
      </c>
      <c r="L1074" s="4" t="str">
        <f t="shared" si="1"/>
        <v>Nov-2025</v>
      </c>
    </row>
    <row r="1075" ht="15.75" customHeight="1">
      <c r="A1075" s="4" t="s">
        <v>1397</v>
      </c>
      <c r="B1075" s="5">
        <v>45989.0</v>
      </c>
      <c r="C1075" s="4" t="s">
        <v>35</v>
      </c>
      <c r="D1075" s="4" t="s">
        <v>14</v>
      </c>
      <c r="E1075" s="4" t="s">
        <v>25</v>
      </c>
      <c r="F1075" s="4" t="s">
        <v>286</v>
      </c>
      <c r="G1075" s="4">
        <v>2.0</v>
      </c>
      <c r="H1075" s="6">
        <v>1291.42</v>
      </c>
      <c r="I1075" s="6">
        <v>2582.84</v>
      </c>
      <c r="J1075" s="6">
        <v>2080.07</v>
      </c>
      <c r="K1075" s="6">
        <v>502.77</v>
      </c>
      <c r="L1075" s="4" t="str">
        <f t="shared" si="1"/>
        <v>Nov-2025</v>
      </c>
    </row>
    <row r="1076" ht="15.75" customHeight="1">
      <c r="A1076" s="4" t="s">
        <v>1398</v>
      </c>
      <c r="B1076" s="5">
        <v>45989.0</v>
      </c>
      <c r="C1076" s="4" t="s">
        <v>75</v>
      </c>
      <c r="D1076" s="4" t="s">
        <v>24</v>
      </c>
      <c r="E1076" s="4" t="s">
        <v>25</v>
      </c>
      <c r="F1076" s="4" t="s">
        <v>478</v>
      </c>
      <c r="G1076" s="4">
        <v>3.0</v>
      </c>
      <c r="H1076" s="6">
        <v>12084.83</v>
      </c>
      <c r="I1076" s="6">
        <v>36254.49</v>
      </c>
      <c r="J1076" s="6">
        <v>27265.01</v>
      </c>
      <c r="K1076" s="6">
        <v>8989.48</v>
      </c>
      <c r="L1076" s="4" t="str">
        <f t="shared" si="1"/>
        <v>Nov-2025</v>
      </c>
    </row>
    <row r="1077" ht="15.75" customHeight="1">
      <c r="A1077" s="4" t="s">
        <v>1399</v>
      </c>
      <c r="B1077" s="5">
        <v>45989.0</v>
      </c>
      <c r="C1077" s="4" t="s">
        <v>50</v>
      </c>
      <c r="D1077" s="4" t="s">
        <v>42</v>
      </c>
      <c r="E1077" s="4" t="s">
        <v>25</v>
      </c>
      <c r="F1077" s="4" t="s">
        <v>552</v>
      </c>
      <c r="G1077" s="4">
        <v>7.0</v>
      </c>
      <c r="H1077" s="6">
        <v>3275.05</v>
      </c>
      <c r="I1077" s="6">
        <v>22925.35</v>
      </c>
      <c r="J1077" s="6">
        <v>17551.51</v>
      </c>
      <c r="K1077" s="6">
        <v>5373.84</v>
      </c>
      <c r="L1077" s="4" t="str">
        <f t="shared" si="1"/>
        <v>Nov-2025</v>
      </c>
    </row>
    <row r="1078" ht="15.75" customHeight="1">
      <c r="A1078" s="4" t="s">
        <v>1400</v>
      </c>
      <c r="B1078" s="5">
        <v>45989.0</v>
      </c>
      <c r="C1078" s="4" t="s">
        <v>92</v>
      </c>
      <c r="D1078" s="4" t="s">
        <v>14</v>
      </c>
      <c r="E1078" s="4" t="s">
        <v>15</v>
      </c>
      <c r="F1078" s="4" t="s">
        <v>82</v>
      </c>
      <c r="G1078" s="4">
        <v>6.0</v>
      </c>
      <c r="H1078" s="6">
        <v>791.73</v>
      </c>
      <c r="I1078" s="6">
        <v>4750.38</v>
      </c>
      <c r="J1078" s="6">
        <v>3631.56</v>
      </c>
      <c r="K1078" s="6">
        <v>1118.82</v>
      </c>
      <c r="L1078" s="4" t="str">
        <f t="shared" si="1"/>
        <v>Nov-2025</v>
      </c>
    </row>
    <row r="1079" ht="15.75" customHeight="1">
      <c r="A1079" s="4" t="s">
        <v>1401</v>
      </c>
      <c r="B1079" s="5">
        <v>45989.0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4">
        <v>2.0</v>
      </c>
      <c r="H1079" s="6">
        <v>4556.19</v>
      </c>
      <c r="I1079" s="6">
        <v>9112.38</v>
      </c>
      <c r="J1079" s="6">
        <v>8340.32</v>
      </c>
      <c r="K1079" s="6">
        <v>772.06</v>
      </c>
      <c r="L1079" s="4" t="str">
        <f t="shared" si="1"/>
        <v>Nov-2025</v>
      </c>
    </row>
    <row r="1080" ht="15.75" customHeight="1">
      <c r="A1080" s="4" t="s">
        <v>1402</v>
      </c>
      <c r="B1080" s="5">
        <v>45990.0</v>
      </c>
      <c r="C1080" s="4" t="s">
        <v>32</v>
      </c>
      <c r="D1080" s="4" t="s">
        <v>19</v>
      </c>
      <c r="E1080" s="4" t="s">
        <v>15</v>
      </c>
      <c r="F1080" s="4" t="s">
        <v>926</v>
      </c>
      <c r="G1080" s="4">
        <v>1.0</v>
      </c>
      <c r="H1080" s="6">
        <v>28196.9</v>
      </c>
      <c r="I1080" s="6">
        <v>28196.9</v>
      </c>
      <c r="J1080" s="6">
        <v>24404.07</v>
      </c>
      <c r="K1080" s="6">
        <v>3792.83</v>
      </c>
      <c r="L1080" s="4" t="str">
        <f t="shared" si="1"/>
        <v>Nov-2025</v>
      </c>
    </row>
    <row r="1081" ht="15.75" customHeight="1">
      <c r="A1081" s="4" t="s">
        <v>1403</v>
      </c>
      <c r="B1081" s="5">
        <v>45990.0</v>
      </c>
      <c r="C1081" s="4" t="s">
        <v>66</v>
      </c>
      <c r="D1081" s="4" t="s">
        <v>42</v>
      </c>
      <c r="E1081" s="4" t="s">
        <v>25</v>
      </c>
      <c r="F1081" s="4" t="s">
        <v>252</v>
      </c>
      <c r="G1081" s="4">
        <v>7.0</v>
      </c>
      <c r="H1081" s="6">
        <v>4365.35</v>
      </c>
      <c r="I1081" s="6">
        <v>30557.45</v>
      </c>
      <c r="J1081" s="6">
        <v>23430.58</v>
      </c>
      <c r="K1081" s="6">
        <v>7126.87</v>
      </c>
      <c r="L1081" s="4" t="str">
        <f t="shared" si="1"/>
        <v>Nov-2025</v>
      </c>
    </row>
    <row r="1082" ht="15.75" customHeight="1">
      <c r="A1082" s="4" t="s">
        <v>1404</v>
      </c>
      <c r="B1082" s="5">
        <v>45990.0</v>
      </c>
      <c r="C1082" s="4" t="s">
        <v>13</v>
      </c>
      <c r="D1082" s="4" t="s">
        <v>14</v>
      </c>
      <c r="E1082" s="4" t="s">
        <v>25</v>
      </c>
      <c r="F1082" s="4" t="s">
        <v>169</v>
      </c>
      <c r="G1082" s="4">
        <v>1.0</v>
      </c>
      <c r="H1082" s="6">
        <v>62.32</v>
      </c>
      <c r="I1082" s="6">
        <v>62.32</v>
      </c>
      <c r="J1082" s="6">
        <v>49.09</v>
      </c>
      <c r="K1082" s="6">
        <v>13.23</v>
      </c>
      <c r="L1082" s="4" t="str">
        <f t="shared" si="1"/>
        <v>Nov-2025</v>
      </c>
    </row>
    <row r="1083" ht="15.75" customHeight="1">
      <c r="A1083" s="4" t="s">
        <v>1405</v>
      </c>
      <c r="B1083" s="5">
        <v>45990.0</v>
      </c>
      <c r="C1083" s="4" t="s">
        <v>47</v>
      </c>
      <c r="D1083" s="4" t="s">
        <v>14</v>
      </c>
      <c r="E1083" s="4" t="s">
        <v>29</v>
      </c>
      <c r="F1083" s="4" t="s">
        <v>444</v>
      </c>
      <c r="G1083" s="4">
        <v>7.0</v>
      </c>
      <c r="H1083" s="6">
        <v>1487.19</v>
      </c>
      <c r="I1083" s="6">
        <v>10410.33</v>
      </c>
      <c r="J1083" s="6">
        <v>7699.06</v>
      </c>
      <c r="K1083" s="6">
        <v>2711.27</v>
      </c>
      <c r="L1083" s="4" t="str">
        <f t="shared" si="1"/>
        <v>Nov-2025</v>
      </c>
    </row>
    <row r="1084" ht="15.75" customHeight="1">
      <c r="A1084" s="4" t="s">
        <v>1406</v>
      </c>
      <c r="B1084" s="5">
        <v>45991.0</v>
      </c>
      <c r="C1084" s="4" t="s">
        <v>72</v>
      </c>
      <c r="D1084" s="4" t="s">
        <v>24</v>
      </c>
      <c r="E1084" s="4" t="s">
        <v>25</v>
      </c>
      <c r="F1084" s="4" t="s">
        <v>1106</v>
      </c>
      <c r="G1084" s="4">
        <v>2.0</v>
      </c>
      <c r="H1084" s="6">
        <v>9505.76</v>
      </c>
      <c r="I1084" s="6">
        <v>19011.52</v>
      </c>
      <c r="J1084" s="6">
        <v>14619.83</v>
      </c>
      <c r="K1084" s="6">
        <v>4391.69</v>
      </c>
      <c r="L1084" s="4" t="str">
        <f t="shared" si="1"/>
        <v>Nov-2025</v>
      </c>
    </row>
    <row r="1085" ht="15.75" customHeight="1">
      <c r="A1085" s="4" t="s">
        <v>1407</v>
      </c>
      <c r="B1085" s="5">
        <v>45991.0</v>
      </c>
      <c r="C1085" s="4" t="s">
        <v>50</v>
      </c>
      <c r="D1085" s="4" t="s">
        <v>42</v>
      </c>
      <c r="E1085" s="4" t="s">
        <v>15</v>
      </c>
      <c r="F1085" s="4" t="s">
        <v>264</v>
      </c>
      <c r="G1085" s="4">
        <v>6.0</v>
      </c>
      <c r="H1085" s="6">
        <v>3842.11</v>
      </c>
      <c r="I1085" s="6">
        <v>23052.66</v>
      </c>
      <c r="J1085" s="6">
        <v>18361.83</v>
      </c>
      <c r="K1085" s="6">
        <v>4690.83</v>
      </c>
      <c r="L1085" s="4" t="str">
        <f t="shared" si="1"/>
        <v>Nov-2025</v>
      </c>
    </row>
    <row r="1086" ht="15.75" customHeight="1">
      <c r="A1086" s="4" t="s">
        <v>1408</v>
      </c>
      <c r="B1086" s="5">
        <v>45991.0</v>
      </c>
      <c r="C1086" s="4" t="s">
        <v>180</v>
      </c>
      <c r="D1086" s="4" t="s">
        <v>19</v>
      </c>
      <c r="E1086" s="4" t="s">
        <v>29</v>
      </c>
      <c r="F1086" s="4" t="s">
        <v>719</v>
      </c>
      <c r="G1086" s="4">
        <v>3.0</v>
      </c>
      <c r="H1086" s="6">
        <v>54142.9</v>
      </c>
      <c r="I1086" s="6">
        <v>162428.7</v>
      </c>
      <c r="J1086" s="6">
        <v>135213.32</v>
      </c>
      <c r="K1086" s="6">
        <v>27215.38</v>
      </c>
      <c r="L1086" s="4" t="str">
        <f t="shared" si="1"/>
        <v>Nov-2025</v>
      </c>
    </row>
    <row r="1087" ht="15.75" customHeight="1">
      <c r="A1087" s="4" t="s">
        <v>1409</v>
      </c>
      <c r="B1087" s="5">
        <v>45991.0</v>
      </c>
      <c r="C1087" s="4" t="s">
        <v>50</v>
      </c>
      <c r="D1087" s="4" t="s">
        <v>42</v>
      </c>
      <c r="E1087" s="4" t="s">
        <v>29</v>
      </c>
      <c r="F1087" s="4" t="s">
        <v>468</v>
      </c>
      <c r="G1087" s="4">
        <v>3.0</v>
      </c>
      <c r="H1087" s="6">
        <v>4704.03</v>
      </c>
      <c r="I1087" s="6">
        <v>14112.09</v>
      </c>
      <c r="J1087" s="6">
        <v>11484.83</v>
      </c>
      <c r="K1087" s="6">
        <v>2627.26</v>
      </c>
      <c r="L1087" s="4" t="str">
        <f t="shared" si="1"/>
        <v>Nov-2025</v>
      </c>
    </row>
    <row r="1088" ht="15.75" customHeight="1">
      <c r="A1088" s="4" t="s">
        <v>1410</v>
      </c>
      <c r="B1088" s="5">
        <v>45991.0</v>
      </c>
      <c r="C1088" s="4" t="s">
        <v>41</v>
      </c>
      <c r="D1088" s="4" t="s">
        <v>42</v>
      </c>
      <c r="E1088" s="4" t="s">
        <v>25</v>
      </c>
      <c r="F1088" s="4" t="s">
        <v>594</v>
      </c>
      <c r="G1088" s="4">
        <v>3.0</v>
      </c>
      <c r="H1088" s="6">
        <v>220.1</v>
      </c>
      <c r="I1088" s="6">
        <v>660.3</v>
      </c>
      <c r="J1088" s="6">
        <v>545.77</v>
      </c>
      <c r="K1088" s="6">
        <v>114.53</v>
      </c>
      <c r="L1088" s="4" t="str">
        <f t="shared" si="1"/>
        <v>Nov-2025</v>
      </c>
    </row>
    <row r="1089" ht="15.75" customHeight="1">
      <c r="A1089" s="4" t="s">
        <v>1411</v>
      </c>
      <c r="B1089" s="5">
        <v>45992.0</v>
      </c>
      <c r="C1089" s="4" t="s">
        <v>23</v>
      </c>
      <c r="D1089" s="4" t="s">
        <v>24</v>
      </c>
      <c r="E1089" s="4" t="s">
        <v>25</v>
      </c>
      <c r="F1089" s="4" t="s">
        <v>795</v>
      </c>
      <c r="G1089" s="4">
        <v>4.0</v>
      </c>
      <c r="H1089" s="6">
        <v>2652.14</v>
      </c>
      <c r="I1089" s="6">
        <v>10608.56</v>
      </c>
      <c r="J1089" s="6">
        <v>8255.83</v>
      </c>
      <c r="K1089" s="6">
        <v>2352.73</v>
      </c>
      <c r="L1089" s="4" t="str">
        <f t="shared" si="1"/>
        <v>Dec-2025</v>
      </c>
    </row>
    <row r="1090" ht="15.75" customHeight="1">
      <c r="A1090" s="4" t="s">
        <v>1412</v>
      </c>
      <c r="B1090" s="5">
        <v>45992.0</v>
      </c>
      <c r="C1090" s="4" t="s">
        <v>180</v>
      </c>
      <c r="D1090" s="4" t="s">
        <v>19</v>
      </c>
      <c r="E1090" s="4" t="s">
        <v>29</v>
      </c>
      <c r="F1090" s="4" t="s">
        <v>492</v>
      </c>
      <c r="G1090" s="4">
        <v>3.0</v>
      </c>
      <c r="H1090" s="6">
        <v>18893.13</v>
      </c>
      <c r="I1090" s="6">
        <v>56679.39</v>
      </c>
      <c r="J1090" s="6">
        <v>51107.3</v>
      </c>
      <c r="K1090" s="6">
        <v>5572.09</v>
      </c>
      <c r="L1090" s="4" t="str">
        <f t="shared" si="1"/>
        <v>Dec-2025</v>
      </c>
    </row>
    <row r="1091" ht="15.75" customHeight="1">
      <c r="A1091" s="4" t="s">
        <v>1413</v>
      </c>
      <c r="B1091" s="5">
        <v>45992.0</v>
      </c>
      <c r="C1091" s="4" t="s">
        <v>50</v>
      </c>
      <c r="D1091" s="4" t="s">
        <v>42</v>
      </c>
      <c r="E1091" s="4" t="s">
        <v>20</v>
      </c>
      <c r="F1091" s="4" t="s">
        <v>116</v>
      </c>
      <c r="G1091" s="4">
        <v>2.0</v>
      </c>
      <c r="H1091" s="6">
        <v>3387.68</v>
      </c>
      <c r="I1091" s="6">
        <v>6775.36</v>
      </c>
      <c r="J1091" s="6">
        <v>5882.32</v>
      </c>
      <c r="K1091" s="6">
        <v>893.04</v>
      </c>
      <c r="L1091" s="4" t="str">
        <f t="shared" si="1"/>
        <v>Dec-2025</v>
      </c>
    </row>
    <row r="1092" ht="15.75" customHeight="1">
      <c r="A1092" s="4" t="s">
        <v>1414</v>
      </c>
      <c r="B1092" s="5">
        <v>45993.0</v>
      </c>
      <c r="C1092" s="4" t="s">
        <v>35</v>
      </c>
      <c r="D1092" s="4" t="s">
        <v>14</v>
      </c>
      <c r="E1092" s="4" t="s">
        <v>25</v>
      </c>
      <c r="F1092" s="4" t="s">
        <v>546</v>
      </c>
      <c r="G1092" s="4">
        <v>7.0</v>
      </c>
      <c r="H1092" s="6">
        <v>702.12</v>
      </c>
      <c r="I1092" s="6">
        <v>4914.84</v>
      </c>
      <c r="J1092" s="6">
        <v>3770.24</v>
      </c>
      <c r="K1092" s="6">
        <v>1144.6</v>
      </c>
      <c r="L1092" s="4" t="str">
        <f t="shared" si="1"/>
        <v>Dec-2025</v>
      </c>
    </row>
    <row r="1093" ht="15.75" customHeight="1">
      <c r="A1093" s="4" t="s">
        <v>1415</v>
      </c>
      <c r="B1093" s="5">
        <v>45993.0</v>
      </c>
      <c r="C1093" s="4" t="s">
        <v>41</v>
      </c>
      <c r="D1093" s="4" t="s">
        <v>42</v>
      </c>
      <c r="E1093" s="4" t="s">
        <v>20</v>
      </c>
      <c r="F1093" s="4" t="s">
        <v>375</v>
      </c>
      <c r="G1093" s="4">
        <v>5.0</v>
      </c>
      <c r="H1093" s="6">
        <v>3220.9</v>
      </c>
      <c r="I1093" s="6">
        <v>16104.5</v>
      </c>
      <c r="J1093" s="6">
        <v>13116.18</v>
      </c>
      <c r="K1093" s="6">
        <v>2988.32</v>
      </c>
      <c r="L1093" s="4" t="str">
        <f t="shared" si="1"/>
        <v>Dec-2025</v>
      </c>
    </row>
    <row r="1094" ht="15.75" customHeight="1">
      <c r="A1094" s="4" t="s">
        <v>1416</v>
      </c>
      <c r="B1094" s="5">
        <v>45993.0</v>
      </c>
      <c r="C1094" s="4" t="s">
        <v>61</v>
      </c>
      <c r="D1094" s="4" t="s">
        <v>19</v>
      </c>
      <c r="E1094" s="4" t="s">
        <v>25</v>
      </c>
      <c r="F1094" s="4" t="s">
        <v>138</v>
      </c>
      <c r="G1094" s="4">
        <v>1.0</v>
      </c>
      <c r="H1094" s="6">
        <v>3055.49</v>
      </c>
      <c r="I1094" s="6">
        <v>3055.49</v>
      </c>
      <c r="J1094" s="6">
        <v>2652.06</v>
      </c>
      <c r="K1094" s="6">
        <v>403.43</v>
      </c>
      <c r="L1094" s="4" t="str">
        <f t="shared" si="1"/>
        <v>Dec-2025</v>
      </c>
    </row>
    <row r="1095" ht="15.75" customHeight="1">
      <c r="A1095" s="4" t="s">
        <v>1417</v>
      </c>
      <c r="B1095" s="5">
        <v>45993.0</v>
      </c>
      <c r="C1095" s="4" t="s">
        <v>72</v>
      </c>
      <c r="D1095" s="4" t="s">
        <v>24</v>
      </c>
      <c r="E1095" s="4" t="s">
        <v>29</v>
      </c>
      <c r="F1095" s="4" t="s">
        <v>673</v>
      </c>
      <c r="G1095" s="4">
        <v>5.0</v>
      </c>
      <c r="H1095" s="6">
        <v>16522.86</v>
      </c>
      <c r="I1095" s="6">
        <v>82614.3</v>
      </c>
      <c r="J1095" s="6">
        <v>63906.82</v>
      </c>
      <c r="K1095" s="6">
        <v>18707.48</v>
      </c>
      <c r="L1095" s="4" t="str">
        <f t="shared" si="1"/>
        <v>Dec-2025</v>
      </c>
    </row>
    <row r="1096" ht="15.75" customHeight="1">
      <c r="A1096" s="4" t="s">
        <v>1418</v>
      </c>
      <c r="B1096" s="5">
        <v>45993.0</v>
      </c>
      <c r="C1096" s="4" t="s">
        <v>72</v>
      </c>
      <c r="D1096" s="4" t="s">
        <v>24</v>
      </c>
      <c r="E1096" s="4" t="s">
        <v>29</v>
      </c>
      <c r="F1096" s="4" t="s">
        <v>713</v>
      </c>
      <c r="G1096" s="4">
        <v>6.0</v>
      </c>
      <c r="H1096" s="6">
        <v>7146.07</v>
      </c>
      <c r="I1096" s="6">
        <v>42876.42</v>
      </c>
      <c r="J1096" s="6">
        <v>33882.62</v>
      </c>
      <c r="K1096" s="6">
        <v>8993.8</v>
      </c>
      <c r="L1096" s="4" t="str">
        <f t="shared" si="1"/>
        <v>Dec-2025</v>
      </c>
    </row>
    <row r="1097" ht="15.75" customHeight="1">
      <c r="A1097" s="4" t="s">
        <v>1419</v>
      </c>
      <c r="B1097" s="5">
        <v>45993.0</v>
      </c>
      <c r="C1097" s="4" t="s">
        <v>180</v>
      </c>
      <c r="D1097" s="4" t="s">
        <v>19</v>
      </c>
      <c r="E1097" s="4" t="s">
        <v>15</v>
      </c>
      <c r="F1097" s="4" t="s">
        <v>334</v>
      </c>
      <c r="G1097" s="4">
        <v>3.0</v>
      </c>
      <c r="H1097" s="6">
        <v>74256.56</v>
      </c>
      <c r="I1097" s="6">
        <v>222769.68</v>
      </c>
      <c r="J1097" s="6">
        <v>187305.65</v>
      </c>
      <c r="K1097" s="6">
        <v>35464.03</v>
      </c>
      <c r="L1097" s="4" t="str">
        <f t="shared" si="1"/>
        <v>Dec-2025</v>
      </c>
    </row>
    <row r="1098" ht="15.75" customHeight="1">
      <c r="A1098" s="4" t="s">
        <v>1420</v>
      </c>
      <c r="B1098" s="5">
        <v>45993.0</v>
      </c>
      <c r="C1098" s="4" t="s">
        <v>66</v>
      </c>
      <c r="D1098" s="4" t="s">
        <v>42</v>
      </c>
      <c r="E1098" s="4" t="s">
        <v>15</v>
      </c>
      <c r="F1098" s="4" t="s">
        <v>288</v>
      </c>
      <c r="G1098" s="4">
        <v>1.0</v>
      </c>
      <c r="H1098" s="6">
        <v>2144.71</v>
      </c>
      <c r="I1098" s="6">
        <v>2144.71</v>
      </c>
      <c r="J1098" s="6">
        <v>1656.63</v>
      </c>
      <c r="K1098" s="6">
        <v>488.08</v>
      </c>
      <c r="L1098" s="4" t="str">
        <f t="shared" si="1"/>
        <v>Dec-2025</v>
      </c>
    </row>
    <row r="1099" ht="15.75" customHeight="1">
      <c r="A1099" s="4" t="s">
        <v>1421</v>
      </c>
      <c r="B1099" s="5">
        <v>45994.0</v>
      </c>
      <c r="C1099" s="4" t="s">
        <v>180</v>
      </c>
      <c r="D1099" s="4" t="s">
        <v>19</v>
      </c>
      <c r="E1099" s="4" t="s">
        <v>25</v>
      </c>
      <c r="F1099" s="4" t="s">
        <v>694</v>
      </c>
      <c r="G1099" s="4">
        <v>6.0</v>
      </c>
      <c r="H1099" s="6">
        <v>72782.67</v>
      </c>
      <c r="I1099" s="6">
        <v>436696.02</v>
      </c>
      <c r="J1099" s="6">
        <v>400608.41</v>
      </c>
      <c r="K1099" s="6">
        <v>36087.61</v>
      </c>
      <c r="L1099" s="4" t="str">
        <f t="shared" si="1"/>
        <v>Dec-2025</v>
      </c>
    </row>
    <row r="1100" ht="15.75" customHeight="1">
      <c r="A1100" s="4" t="s">
        <v>1422</v>
      </c>
      <c r="B1100" s="5">
        <v>45994.0</v>
      </c>
      <c r="C1100" s="4" t="s">
        <v>61</v>
      </c>
      <c r="D1100" s="4" t="s">
        <v>19</v>
      </c>
      <c r="E1100" s="4" t="s">
        <v>15</v>
      </c>
      <c r="F1100" s="4" t="s">
        <v>1114</v>
      </c>
      <c r="G1100" s="4">
        <v>6.0</v>
      </c>
      <c r="H1100" s="6">
        <v>70455.24</v>
      </c>
      <c r="I1100" s="6">
        <v>422731.44</v>
      </c>
      <c r="J1100" s="6">
        <v>352271.69</v>
      </c>
      <c r="K1100" s="6">
        <v>70459.75</v>
      </c>
      <c r="L1100" s="4" t="str">
        <f t="shared" si="1"/>
        <v>Dec-2025</v>
      </c>
    </row>
    <row r="1101" ht="15.75" customHeight="1">
      <c r="A1101" s="4" t="s">
        <v>1423</v>
      </c>
      <c r="B1101" s="5">
        <v>45994.0</v>
      </c>
      <c r="C1101" s="4" t="s">
        <v>160</v>
      </c>
      <c r="D1101" s="4" t="s">
        <v>42</v>
      </c>
      <c r="E1101" s="4" t="s">
        <v>15</v>
      </c>
      <c r="F1101" s="4" t="s">
        <v>386</v>
      </c>
      <c r="G1101" s="4">
        <v>3.0</v>
      </c>
      <c r="H1101" s="6">
        <v>2650.74</v>
      </c>
      <c r="I1101" s="6">
        <v>7952.22</v>
      </c>
      <c r="J1101" s="6">
        <v>6129.47</v>
      </c>
      <c r="K1101" s="6">
        <v>1822.75</v>
      </c>
      <c r="L1101" s="4" t="str">
        <f t="shared" si="1"/>
        <v>Dec-2025</v>
      </c>
    </row>
    <row r="1102" ht="15.75" customHeight="1">
      <c r="A1102" s="4" t="s">
        <v>1424</v>
      </c>
      <c r="B1102" s="5">
        <v>45994.0</v>
      </c>
      <c r="C1102" s="4" t="s">
        <v>13</v>
      </c>
      <c r="D1102" s="4" t="s">
        <v>14</v>
      </c>
      <c r="E1102" s="4" t="s">
        <v>15</v>
      </c>
      <c r="F1102" s="4" t="s">
        <v>93</v>
      </c>
      <c r="G1102" s="4">
        <v>7.0</v>
      </c>
      <c r="H1102" s="6">
        <v>945.46</v>
      </c>
      <c r="I1102" s="6">
        <v>6618.22</v>
      </c>
      <c r="J1102" s="6">
        <v>4834.51</v>
      </c>
      <c r="K1102" s="6">
        <v>1783.71</v>
      </c>
      <c r="L1102" s="4" t="str">
        <f t="shared" si="1"/>
        <v>Dec-2025</v>
      </c>
    </row>
    <row r="1103" ht="15.75" customHeight="1">
      <c r="A1103" s="4" t="s">
        <v>1425</v>
      </c>
      <c r="B1103" s="5">
        <v>45995.0</v>
      </c>
      <c r="C1103" s="4" t="s">
        <v>69</v>
      </c>
      <c r="D1103" s="4" t="s">
        <v>19</v>
      </c>
      <c r="E1103" s="4" t="s">
        <v>25</v>
      </c>
      <c r="F1103" s="4" t="s">
        <v>297</v>
      </c>
      <c r="G1103" s="4">
        <v>3.0</v>
      </c>
      <c r="H1103" s="6">
        <v>49175.53</v>
      </c>
      <c r="I1103" s="6">
        <v>147526.59</v>
      </c>
      <c r="J1103" s="6">
        <v>131754.18</v>
      </c>
      <c r="K1103" s="6">
        <v>15772.41</v>
      </c>
      <c r="L1103" s="4" t="str">
        <f t="shared" si="1"/>
        <v>Dec-2025</v>
      </c>
    </row>
    <row r="1104" ht="15.75" customHeight="1">
      <c r="A1104" s="4" t="s">
        <v>1426</v>
      </c>
      <c r="B1104" s="5">
        <v>45996.0</v>
      </c>
      <c r="C1104" s="4" t="s">
        <v>66</v>
      </c>
      <c r="D1104" s="4" t="s">
        <v>42</v>
      </c>
      <c r="E1104" s="4" t="s">
        <v>29</v>
      </c>
      <c r="F1104" s="4" t="s">
        <v>926</v>
      </c>
      <c r="G1104" s="4">
        <v>3.0</v>
      </c>
      <c r="H1104" s="6">
        <v>1114.77</v>
      </c>
      <c r="I1104" s="6">
        <v>3344.31</v>
      </c>
      <c r="J1104" s="6">
        <v>2576.68</v>
      </c>
      <c r="K1104" s="6">
        <v>767.63</v>
      </c>
      <c r="L1104" s="4" t="str">
        <f t="shared" si="1"/>
        <v>Dec-2025</v>
      </c>
    </row>
    <row r="1105" ht="15.75" customHeight="1">
      <c r="A1105" s="4" t="s">
        <v>1427</v>
      </c>
      <c r="B1105" s="5">
        <v>45996.0</v>
      </c>
      <c r="C1105" s="4" t="s">
        <v>72</v>
      </c>
      <c r="D1105" s="4" t="s">
        <v>24</v>
      </c>
      <c r="E1105" s="4" t="s">
        <v>29</v>
      </c>
      <c r="F1105" s="4" t="s">
        <v>55</v>
      </c>
      <c r="G1105" s="4">
        <v>5.0</v>
      </c>
      <c r="H1105" s="6">
        <v>9294.12</v>
      </c>
      <c r="I1105" s="6">
        <v>46470.6</v>
      </c>
      <c r="J1105" s="6">
        <v>36549.92</v>
      </c>
      <c r="K1105" s="6">
        <v>9920.68</v>
      </c>
      <c r="L1105" s="4" t="str">
        <f t="shared" si="1"/>
        <v>Dec-2025</v>
      </c>
    </row>
    <row r="1106" ht="15.75" customHeight="1">
      <c r="A1106" s="4" t="s">
        <v>1428</v>
      </c>
      <c r="B1106" s="5">
        <v>45996.0</v>
      </c>
      <c r="C1106" s="4" t="s">
        <v>102</v>
      </c>
      <c r="D1106" s="4" t="s">
        <v>24</v>
      </c>
      <c r="E1106" s="4" t="s">
        <v>15</v>
      </c>
      <c r="F1106" s="4" t="s">
        <v>175</v>
      </c>
      <c r="G1106" s="4">
        <v>4.0</v>
      </c>
      <c r="H1106" s="6">
        <v>8995.68</v>
      </c>
      <c r="I1106" s="6">
        <v>35982.72</v>
      </c>
      <c r="J1106" s="6">
        <v>31135.22</v>
      </c>
      <c r="K1106" s="6">
        <v>4847.5</v>
      </c>
      <c r="L1106" s="4" t="str">
        <f t="shared" si="1"/>
        <v>Dec-2025</v>
      </c>
    </row>
    <row r="1107" ht="15.75" customHeight="1">
      <c r="A1107" s="4" t="s">
        <v>1429</v>
      </c>
      <c r="B1107" s="5">
        <v>45996.0</v>
      </c>
      <c r="C1107" s="4" t="s">
        <v>140</v>
      </c>
      <c r="D1107" s="4" t="s">
        <v>14</v>
      </c>
      <c r="E1107" s="4" t="s">
        <v>15</v>
      </c>
      <c r="F1107" s="4" t="s">
        <v>309</v>
      </c>
      <c r="G1107" s="4">
        <v>4.0</v>
      </c>
      <c r="H1107" s="6">
        <v>860.0</v>
      </c>
      <c r="I1107" s="6">
        <v>3440.0</v>
      </c>
      <c r="J1107" s="6">
        <v>2820.42</v>
      </c>
      <c r="K1107" s="6">
        <v>619.58</v>
      </c>
      <c r="L1107" s="4" t="str">
        <f t="shared" si="1"/>
        <v>Dec-2025</v>
      </c>
    </row>
    <row r="1108" ht="15.75" customHeight="1">
      <c r="A1108" s="4" t="s">
        <v>1430</v>
      </c>
      <c r="B1108" s="5">
        <v>45997.0</v>
      </c>
      <c r="C1108" s="4" t="s">
        <v>75</v>
      </c>
      <c r="D1108" s="4" t="s">
        <v>24</v>
      </c>
      <c r="E1108" s="4" t="s">
        <v>15</v>
      </c>
      <c r="F1108" s="4" t="s">
        <v>352</v>
      </c>
      <c r="G1108" s="4">
        <v>2.0</v>
      </c>
      <c r="H1108" s="6">
        <v>2947.25</v>
      </c>
      <c r="I1108" s="6">
        <v>5894.5</v>
      </c>
      <c r="J1108" s="6">
        <v>5121.92</v>
      </c>
      <c r="K1108" s="6">
        <v>772.58</v>
      </c>
      <c r="L1108" s="4" t="str">
        <f t="shared" si="1"/>
        <v>Dec-2025</v>
      </c>
    </row>
    <row r="1109" ht="15.75" customHeight="1">
      <c r="A1109" s="4" t="s">
        <v>1431</v>
      </c>
      <c r="B1109" s="5">
        <v>45998.0</v>
      </c>
      <c r="C1109" s="4" t="s">
        <v>41</v>
      </c>
      <c r="D1109" s="4" t="s">
        <v>42</v>
      </c>
      <c r="E1109" s="4" t="s">
        <v>29</v>
      </c>
      <c r="F1109" s="4" t="s">
        <v>171</v>
      </c>
      <c r="G1109" s="4">
        <v>3.0</v>
      </c>
      <c r="H1109" s="6">
        <v>4928.84</v>
      </c>
      <c r="I1109" s="6">
        <v>14786.52</v>
      </c>
      <c r="J1109" s="6">
        <v>11935.45</v>
      </c>
      <c r="K1109" s="6">
        <v>2851.07</v>
      </c>
      <c r="L1109" s="4" t="str">
        <f t="shared" si="1"/>
        <v>Dec-2025</v>
      </c>
    </row>
    <row r="1110" ht="15.75" customHeight="1">
      <c r="A1110" s="4" t="s">
        <v>1432</v>
      </c>
      <c r="B1110" s="5">
        <v>45998.0</v>
      </c>
      <c r="C1110" s="4" t="s">
        <v>38</v>
      </c>
      <c r="D1110" s="4" t="s">
        <v>19</v>
      </c>
      <c r="E1110" s="4" t="s">
        <v>20</v>
      </c>
      <c r="F1110" s="4" t="s">
        <v>373</v>
      </c>
      <c r="G1110" s="4">
        <v>4.0</v>
      </c>
      <c r="H1110" s="6">
        <v>11884.33</v>
      </c>
      <c r="I1110" s="6">
        <v>47537.32</v>
      </c>
      <c r="J1110" s="6">
        <v>41057.99</v>
      </c>
      <c r="K1110" s="6">
        <v>6479.33</v>
      </c>
      <c r="L1110" s="4" t="str">
        <f t="shared" si="1"/>
        <v>Dec-2025</v>
      </c>
    </row>
    <row r="1111" ht="15.75" customHeight="1">
      <c r="A1111" s="4" t="s">
        <v>1433</v>
      </c>
      <c r="B1111" s="5">
        <v>45999.0</v>
      </c>
      <c r="C1111" s="4" t="s">
        <v>160</v>
      </c>
      <c r="D1111" s="4" t="s">
        <v>42</v>
      </c>
      <c r="E1111" s="4" t="s">
        <v>29</v>
      </c>
      <c r="F1111" s="4" t="s">
        <v>633</v>
      </c>
      <c r="G1111" s="4">
        <v>3.0</v>
      </c>
      <c r="H1111" s="6">
        <v>1755.09</v>
      </c>
      <c r="I1111" s="6">
        <v>5265.27</v>
      </c>
      <c r="J1111" s="6">
        <v>4493.96</v>
      </c>
      <c r="K1111" s="6">
        <v>771.31</v>
      </c>
      <c r="L1111" s="4" t="str">
        <f t="shared" si="1"/>
        <v>Dec-2025</v>
      </c>
    </row>
    <row r="1112" ht="15.75" customHeight="1">
      <c r="A1112" s="4" t="s">
        <v>1434</v>
      </c>
      <c r="B1112" s="5">
        <v>45999.0</v>
      </c>
      <c r="C1112" s="4" t="s">
        <v>32</v>
      </c>
      <c r="D1112" s="4" t="s">
        <v>19</v>
      </c>
      <c r="E1112" s="4" t="s">
        <v>25</v>
      </c>
      <c r="F1112" s="4" t="s">
        <v>641</v>
      </c>
      <c r="G1112" s="4">
        <v>6.0</v>
      </c>
      <c r="H1112" s="6">
        <v>6706.7</v>
      </c>
      <c r="I1112" s="6">
        <v>40240.2</v>
      </c>
      <c r="J1112" s="6">
        <v>33607.22</v>
      </c>
      <c r="K1112" s="6">
        <v>6632.98</v>
      </c>
      <c r="L1112" s="4" t="str">
        <f t="shared" si="1"/>
        <v>Dec-2025</v>
      </c>
    </row>
    <row r="1113" ht="15.75" customHeight="1">
      <c r="A1113" s="4" t="s">
        <v>1435</v>
      </c>
      <c r="B1113" s="5">
        <v>45999.0</v>
      </c>
      <c r="C1113" s="4" t="s">
        <v>61</v>
      </c>
      <c r="D1113" s="4" t="s">
        <v>19</v>
      </c>
      <c r="E1113" s="4" t="s">
        <v>29</v>
      </c>
      <c r="F1113" s="4" t="s">
        <v>561</v>
      </c>
      <c r="G1113" s="4">
        <v>4.0</v>
      </c>
      <c r="H1113" s="6">
        <v>867.21</v>
      </c>
      <c r="I1113" s="6">
        <v>3468.84</v>
      </c>
      <c r="J1113" s="6">
        <v>2893.61</v>
      </c>
      <c r="K1113" s="6">
        <v>575.23</v>
      </c>
      <c r="L1113" s="4" t="str">
        <f t="shared" si="1"/>
        <v>Dec-2025</v>
      </c>
    </row>
    <row r="1114" ht="15.75" customHeight="1">
      <c r="A1114" s="4" t="s">
        <v>1436</v>
      </c>
      <c r="B1114" s="5">
        <v>45999.0</v>
      </c>
      <c r="C1114" s="4" t="s">
        <v>23</v>
      </c>
      <c r="D1114" s="4" t="s">
        <v>24</v>
      </c>
      <c r="E1114" s="4" t="s">
        <v>15</v>
      </c>
      <c r="F1114" s="4" t="s">
        <v>369</v>
      </c>
      <c r="G1114" s="4">
        <v>2.0</v>
      </c>
      <c r="H1114" s="6">
        <v>1906.15</v>
      </c>
      <c r="I1114" s="6">
        <v>3812.3</v>
      </c>
      <c r="J1114" s="6">
        <v>3118.26</v>
      </c>
      <c r="K1114" s="6">
        <v>694.04</v>
      </c>
      <c r="L1114" s="4" t="str">
        <f t="shared" si="1"/>
        <v>Dec-2025</v>
      </c>
    </row>
    <row r="1115" ht="15.75" customHeight="1">
      <c r="A1115" s="4" t="s">
        <v>1437</v>
      </c>
      <c r="B1115" s="5">
        <v>45999.0</v>
      </c>
      <c r="C1115" s="4" t="s">
        <v>66</v>
      </c>
      <c r="D1115" s="4" t="s">
        <v>42</v>
      </c>
      <c r="E1115" s="4" t="s">
        <v>29</v>
      </c>
      <c r="F1115" s="4" t="s">
        <v>288</v>
      </c>
      <c r="G1115" s="4">
        <v>4.0</v>
      </c>
      <c r="H1115" s="6">
        <v>258.09</v>
      </c>
      <c r="I1115" s="6">
        <v>1032.36</v>
      </c>
      <c r="J1115" s="6">
        <v>893.71</v>
      </c>
      <c r="K1115" s="6">
        <v>138.65</v>
      </c>
      <c r="L1115" s="4" t="str">
        <f t="shared" si="1"/>
        <v>Dec-2025</v>
      </c>
    </row>
    <row r="1116" ht="15.75" customHeight="1">
      <c r="A1116" s="4" t="s">
        <v>1438</v>
      </c>
      <c r="B1116" s="5">
        <v>46000.0</v>
      </c>
      <c r="C1116" s="4" t="s">
        <v>155</v>
      </c>
      <c r="D1116" s="4" t="s">
        <v>24</v>
      </c>
      <c r="E1116" s="4" t="s">
        <v>29</v>
      </c>
      <c r="F1116" s="4" t="s">
        <v>213</v>
      </c>
      <c r="G1116" s="4">
        <v>6.0</v>
      </c>
      <c r="H1116" s="6">
        <v>10429.15</v>
      </c>
      <c r="I1116" s="6">
        <v>62574.9</v>
      </c>
      <c r="J1116" s="6">
        <v>48026.55</v>
      </c>
      <c r="K1116" s="6">
        <v>14548.35</v>
      </c>
      <c r="L1116" s="4" t="str">
        <f t="shared" si="1"/>
        <v>Dec-2025</v>
      </c>
    </row>
    <row r="1117" ht="15.75" customHeight="1">
      <c r="A1117" s="4" t="s">
        <v>1439</v>
      </c>
      <c r="B1117" s="5">
        <v>46000.0</v>
      </c>
      <c r="C1117" s="4" t="s">
        <v>66</v>
      </c>
      <c r="D1117" s="4" t="s">
        <v>42</v>
      </c>
      <c r="E1117" s="4" t="s">
        <v>20</v>
      </c>
      <c r="F1117" s="4" t="s">
        <v>375</v>
      </c>
      <c r="G1117" s="4">
        <v>4.0</v>
      </c>
      <c r="H1117" s="6">
        <v>462.13</v>
      </c>
      <c r="I1117" s="6">
        <v>1848.52</v>
      </c>
      <c r="J1117" s="6">
        <v>1533.51</v>
      </c>
      <c r="K1117" s="6">
        <v>315.01</v>
      </c>
      <c r="L1117" s="4" t="str">
        <f t="shared" si="1"/>
        <v>Dec-2025</v>
      </c>
    </row>
    <row r="1118" ht="15.75" customHeight="1">
      <c r="A1118" s="4" t="s">
        <v>1440</v>
      </c>
      <c r="B1118" s="5">
        <v>46000.0</v>
      </c>
      <c r="C1118" s="4" t="s">
        <v>28</v>
      </c>
      <c r="D1118" s="4" t="s">
        <v>14</v>
      </c>
      <c r="E1118" s="4" t="s">
        <v>25</v>
      </c>
      <c r="F1118" s="4" t="s">
        <v>189</v>
      </c>
      <c r="G1118" s="4">
        <v>3.0</v>
      </c>
      <c r="H1118" s="6">
        <v>203.26</v>
      </c>
      <c r="I1118" s="6">
        <v>609.78</v>
      </c>
      <c r="J1118" s="6">
        <v>513.35</v>
      </c>
      <c r="K1118" s="6">
        <v>96.43</v>
      </c>
      <c r="L1118" s="4" t="str">
        <f t="shared" si="1"/>
        <v>Dec-2025</v>
      </c>
    </row>
    <row r="1119" ht="15.75" customHeight="1">
      <c r="A1119" s="4" t="s">
        <v>1441</v>
      </c>
      <c r="B1119" s="5">
        <v>46001.0</v>
      </c>
      <c r="C1119" s="4" t="s">
        <v>28</v>
      </c>
      <c r="D1119" s="4" t="s">
        <v>14</v>
      </c>
      <c r="E1119" s="4" t="s">
        <v>29</v>
      </c>
      <c r="F1119" s="4" t="s">
        <v>741</v>
      </c>
      <c r="G1119" s="4">
        <v>6.0</v>
      </c>
      <c r="H1119" s="6">
        <v>1219.29</v>
      </c>
      <c r="I1119" s="6">
        <v>7315.74</v>
      </c>
      <c r="J1119" s="6">
        <v>5240.5</v>
      </c>
      <c r="K1119" s="6">
        <v>2075.24</v>
      </c>
      <c r="L1119" s="4" t="str">
        <f t="shared" si="1"/>
        <v>Dec-2025</v>
      </c>
    </row>
    <row r="1120" ht="15.75" customHeight="1">
      <c r="A1120" s="4" t="s">
        <v>1442</v>
      </c>
      <c r="B1120" s="5">
        <v>46001.0</v>
      </c>
      <c r="C1120" s="4" t="s">
        <v>61</v>
      </c>
      <c r="D1120" s="4" t="s">
        <v>19</v>
      </c>
      <c r="E1120" s="4" t="s">
        <v>20</v>
      </c>
      <c r="F1120" s="4" t="s">
        <v>175</v>
      </c>
      <c r="G1120" s="4">
        <v>3.0</v>
      </c>
      <c r="H1120" s="6">
        <v>71287.12</v>
      </c>
      <c r="I1120" s="6">
        <v>213861.36</v>
      </c>
      <c r="J1120" s="6">
        <v>176572.19</v>
      </c>
      <c r="K1120" s="6">
        <v>37289.17</v>
      </c>
      <c r="L1120" s="4" t="str">
        <f t="shared" si="1"/>
        <v>Dec-2025</v>
      </c>
    </row>
    <row r="1121" ht="15.75" customHeight="1">
      <c r="A1121" s="4" t="s">
        <v>1443</v>
      </c>
      <c r="B1121" s="5">
        <v>46002.0</v>
      </c>
      <c r="C1121" s="4" t="s">
        <v>72</v>
      </c>
      <c r="D1121" s="4" t="s">
        <v>24</v>
      </c>
      <c r="E1121" s="4" t="s">
        <v>29</v>
      </c>
      <c r="F1121" s="4" t="s">
        <v>478</v>
      </c>
      <c r="G1121" s="4">
        <v>7.0</v>
      </c>
      <c r="H1121" s="6">
        <v>5093.12</v>
      </c>
      <c r="I1121" s="6">
        <v>35651.84</v>
      </c>
      <c r="J1121" s="6">
        <v>30810.39</v>
      </c>
      <c r="K1121" s="6">
        <v>4841.45</v>
      </c>
      <c r="L1121" s="4" t="str">
        <f t="shared" si="1"/>
        <v>Dec-2025</v>
      </c>
    </row>
    <row r="1122" ht="15.75" customHeight="1">
      <c r="A1122" s="4" t="s">
        <v>1444</v>
      </c>
      <c r="B1122" s="5">
        <v>46002.0</v>
      </c>
      <c r="C1122" s="4" t="s">
        <v>38</v>
      </c>
      <c r="D1122" s="4" t="s">
        <v>19</v>
      </c>
      <c r="E1122" s="4" t="s">
        <v>25</v>
      </c>
      <c r="F1122" s="4" t="s">
        <v>820</v>
      </c>
      <c r="G1122" s="4">
        <v>4.0</v>
      </c>
      <c r="H1122" s="6">
        <v>28138.91</v>
      </c>
      <c r="I1122" s="6">
        <v>112555.64</v>
      </c>
      <c r="J1122" s="6">
        <v>91458.04</v>
      </c>
      <c r="K1122" s="6">
        <v>21097.6</v>
      </c>
      <c r="L1122" s="4" t="str">
        <f t="shared" si="1"/>
        <v>Dec-2025</v>
      </c>
    </row>
    <row r="1123" ht="15.75" customHeight="1">
      <c r="A1123" s="4" t="s">
        <v>1445</v>
      </c>
      <c r="B1123" s="5">
        <v>46002.0</v>
      </c>
      <c r="C1123" s="4" t="s">
        <v>66</v>
      </c>
      <c r="D1123" s="4" t="s">
        <v>42</v>
      </c>
      <c r="E1123" s="4" t="s">
        <v>15</v>
      </c>
      <c r="F1123" s="4" t="s">
        <v>64</v>
      </c>
      <c r="G1123" s="4">
        <v>7.0</v>
      </c>
      <c r="H1123" s="6">
        <v>3469.37</v>
      </c>
      <c r="I1123" s="6">
        <v>24285.59</v>
      </c>
      <c r="J1123" s="6">
        <v>21467.7</v>
      </c>
      <c r="K1123" s="6">
        <v>2817.89</v>
      </c>
      <c r="L1123" s="4" t="str">
        <f t="shared" si="1"/>
        <v>Dec-2025</v>
      </c>
    </row>
    <row r="1124" ht="15.75" customHeight="1">
      <c r="A1124" s="4" t="s">
        <v>1446</v>
      </c>
      <c r="B1124" s="5">
        <v>46002.0</v>
      </c>
      <c r="C1124" s="4" t="s">
        <v>155</v>
      </c>
      <c r="D1124" s="4" t="s">
        <v>24</v>
      </c>
      <c r="E1124" s="4" t="s">
        <v>29</v>
      </c>
      <c r="F1124" s="4" t="s">
        <v>626</v>
      </c>
      <c r="G1124" s="4">
        <v>4.0</v>
      </c>
      <c r="H1124" s="6">
        <v>6746.46</v>
      </c>
      <c r="I1124" s="6">
        <v>26985.84</v>
      </c>
      <c r="J1124" s="6">
        <v>23094.5</v>
      </c>
      <c r="K1124" s="6">
        <v>3891.34</v>
      </c>
      <c r="L1124" s="4" t="str">
        <f t="shared" si="1"/>
        <v>Dec-2025</v>
      </c>
    </row>
    <row r="1125" ht="15.75" customHeight="1">
      <c r="A1125" s="4" t="s">
        <v>1447</v>
      </c>
      <c r="B1125" s="5">
        <v>46003.0</v>
      </c>
      <c r="C1125" s="4" t="s">
        <v>47</v>
      </c>
      <c r="D1125" s="4" t="s">
        <v>14</v>
      </c>
      <c r="E1125" s="4" t="s">
        <v>20</v>
      </c>
      <c r="F1125" s="4" t="s">
        <v>95</v>
      </c>
      <c r="G1125" s="4">
        <v>7.0</v>
      </c>
      <c r="H1125" s="6">
        <v>1414.85</v>
      </c>
      <c r="I1125" s="6">
        <v>9903.95</v>
      </c>
      <c r="J1125" s="6">
        <v>7114.1</v>
      </c>
      <c r="K1125" s="6">
        <v>2789.85</v>
      </c>
      <c r="L1125" s="4" t="str">
        <f t="shared" si="1"/>
        <v>Dec-2025</v>
      </c>
    </row>
    <row r="1126" ht="15.75" customHeight="1">
      <c r="A1126" s="4" t="s">
        <v>1448</v>
      </c>
      <c r="B1126" s="5">
        <v>46003.0</v>
      </c>
      <c r="C1126" s="4" t="s">
        <v>38</v>
      </c>
      <c r="D1126" s="4" t="s">
        <v>19</v>
      </c>
      <c r="E1126" s="4" t="s">
        <v>25</v>
      </c>
      <c r="F1126" s="4" t="s">
        <v>710</v>
      </c>
      <c r="G1126" s="4">
        <v>6.0</v>
      </c>
      <c r="H1126" s="6">
        <v>59881.12</v>
      </c>
      <c r="I1126" s="6">
        <v>359286.72</v>
      </c>
      <c r="J1126" s="6">
        <v>318818.99</v>
      </c>
      <c r="K1126" s="6">
        <v>40467.73</v>
      </c>
      <c r="L1126" s="4" t="str">
        <f t="shared" si="1"/>
        <v>Dec-2025</v>
      </c>
    </row>
    <row r="1127" ht="15.75" customHeight="1">
      <c r="A1127" s="4" t="s">
        <v>1449</v>
      </c>
      <c r="B1127" s="5">
        <v>46003.0</v>
      </c>
      <c r="C1127" s="4" t="s">
        <v>92</v>
      </c>
      <c r="D1127" s="4" t="s">
        <v>14</v>
      </c>
      <c r="E1127" s="4" t="s">
        <v>15</v>
      </c>
      <c r="F1127" s="4" t="s">
        <v>84</v>
      </c>
      <c r="G1127" s="4">
        <v>4.0</v>
      </c>
      <c r="H1127" s="6">
        <v>412.5</v>
      </c>
      <c r="I1127" s="6">
        <v>1650.0</v>
      </c>
      <c r="J1127" s="6">
        <v>1211.97</v>
      </c>
      <c r="K1127" s="6">
        <v>438.03</v>
      </c>
      <c r="L1127" s="4" t="str">
        <f t="shared" si="1"/>
        <v>Dec-2025</v>
      </c>
    </row>
    <row r="1128" ht="15.75" customHeight="1">
      <c r="A1128" s="4" t="s">
        <v>1450</v>
      </c>
      <c r="B1128" s="5">
        <v>46003.0</v>
      </c>
      <c r="C1128" s="4" t="s">
        <v>102</v>
      </c>
      <c r="D1128" s="4" t="s">
        <v>24</v>
      </c>
      <c r="E1128" s="4" t="s">
        <v>25</v>
      </c>
      <c r="F1128" s="4" t="s">
        <v>795</v>
      </c>
      <c r="G1128" s="4">
        <v>3.0</v>
      </c>
      <c r="H1128" s="6">
        <v>6731.92</v>
      </c>
      <c r="I1128" s="6">
        <v>20195.76</v>
      </c>
      <c r="J1128" s="6">
        <v>14733.14</v>
      </c>
      <c r="K1128" s="6">
        <v>5462.62</v>
      </c>
      <c r="L1128" s="4" t="str">
        <f t="shared" si="1"/>
        <v>Dec-2025</v>
      </c>
    </row>
    <row r="1129" ht="15.75" customHeight="1">
      <c r="A1129" s="4" t="s">
        <v>1451</v>
      </c>
      <c r="B1129" s="5">
        <v>46003.0</v>
      </c>
      <c r="C1129" s="4" t="s">
        <v>28</v>
      </c>
      <c r="D1129" s="4" t="s">
        <v>14</v>
      </c>
      <c r="E1129" s="4" t="s">
        <v>29</v>
      </c>
      <c r="F1129" s="4" t="s">
        <v>673</v>
      </c>
      <c r="G1129" s="4">
        <v>1.0</v>
      </c>
      <c r="H1129" s="6">
        <v>1087.57</v>
      </c>
      <c r="I1129" s="6">
        <v>1087.57</v>
      </c>
      <c r="J1129" s="6">
        <v>770.0</v>
      </c>
      <c r="K1129" s="6">
        <v>317.57</v>
      </c>
      <c r="L1129" s="4" t="str">
        <f t="shared" si="1"/>
        <v>Dec-2025</v>
      </c>
    </row>
    <row r="1130" ht="15.75" customHeight="1">
      <c r="A1130" s="4" t="s">
        <v>1452</v>
      </c>
      <c r="B1130" s="5">
        <v>46003.0</v>
      </c>
      <c r="C1130" s="4" t="s">
        <v>38</v>
      </c>
      <c r="D1130" s="4" t="s">
        <v>19</v>
      </c>
      <c r="E1130" s="4" t="s">
        <v>29</v>
      </c>
      <c r="F1130" s="4" t="s">
        <v>195</v>
      </c>
      <c r="G1130" s="4">
        <v>1.0</v>
      </c>
      <c r="H1130" s="6">
        <v>52103.07</v>
      </c>
      <c r="I1130" s="6">
        <v>52103.07</v>
      </c>
      <c r="J1130" s="6">
        <v>46298.26</v>
      </c>
      <c r="K1130" s="6">
        <v>5804.81</v>
      </c>
      <c r="L1130" s="4" t="str">
        <f t="shared" si="1"/>
        <v>Dec-2025</v>
      </c>
    </row>
    <row r="1131" ht="15.75" customHeight="1">
      <c r="A1131" s="4" t="s">
        <v>1453</v>
      </c>
      <c r="B1131" s="5">
        <v>46004.0</v>
      </c>
      <c r="C1131" s="4" t="s">
        <v>47</v>
      </c>
      <c r="D1131" s="4" t="s">
        <v>14</v>
      </c>
      <c r="E1131" s="4" t="s">
        <v>15</v>
      </c>
      <c r="F1131" s="4" t="s">
        <v>84</v>
      </c>
      <c r="G1131" s="4">
        <v>7.0</v>
      </c>
      <c r="H1131" s="6">
        <v>1124.9</v>
      </c>
      <c r="I1131" s="6">
        <v>7874.3</v>
      </c>
      <c r="J1131" s="6">
        <v>5501.99</v>
      </c>
      <c r="K1131" s="6">
        <v>2372.31</v>
      </c>
      <c r="L1131" s="4" t="str">
        <f t="shared" si="1"/>
        <v>Dec-2025</v>
      </c>
    </row>
    <row r="1132" ht="15.75" customHeight="1">
      <c r="A1132" s="4" t="s">
        <v>1454</v>
      </c>
      <c r="B1132" s="5">
        <v>46004.0</v>
      </c>
      <c r="C1132" s="4" t="s">
        <v>75</v>
      </c>
      <c r="D1132" s="4" t="s">
        <v>24</v>
      </c>
      <c r="E1132" s="4" t="s">
        <v>29</v>
      </c>
      <c r="F1132" s="4" t="s">
        <v>39</v>
      </c>
      <c r="G1132" s="4">
        <v>2.0</v>
      </c>
      <c r="H1132" s="6">
        <v>13883.84</v>
      </c>
      <c r="I1132" s="6">
        <v>27767.68</v>
      </c>
      <c r="J1132" s="6">
        <v>24268.7</v>
      </c>
      <c r="K1132" s="6">
        <v>3498.98</v>
      </c>
      <c r="L1132" s="4" t="str">
        <f t="shared" si="1"/>
        <v>Dec-2025</v>
      </c>
    </row>
    <row r="1133" ht="15.75" customHeight="1">
      <c r="A1133" s="4" t="s">
        <v>1455</v>
      </c>
      <c r="B1133" s="5">
        <v>46004.0</v>
      </c>
      <c r="C1133" s="4" t="s">
        <v>69</v>
      </c>
      <c r="D1133" s="4" t="s">
        <v>19</v>
      </c>
      <c r="E1133" s="4" t="s">
        <v>20</v>
      </c>
      <c r="F1133" s="4" t="s">
        <v>369</v>
      </c>
      <c r="G1133" s="4">
        <v>4.0</v>
      </c>
      <c r="H1133" s="6">
        <v>53999.57</v>
      </c>
      <c r="I1133" s="6">
        <v>215998.28</v>
      </c>
      <c r="J1133" s="6">
        <v>175994.94</v>
      </c>
      <c r="K1133" s="6">
        <v>40003.34</v>
      </c>
      <c r="L1133" s="4" t="str">
        <f t="shared" si="1"/>
        <v>Dec-2025</v>
      </c>
    </row>
    <row r="1134" ht="15.75" customHeight="1">
      <c r="A1134" s="4" t="s">
        <v>1456</v>
      </c>
      <c r="B1134" s="5">
        <v>46004.0</v>
      </c>
      <c r="C1134" s="4" t="s">
        <v>155</v>
      </c>
      <c r="D1134" s="4" t="s">
        <v>24</v>
      </c>
      <c r="E1134" s="4" t="s">
        <v>29</v>
      </c>
      <c r="F1134" s="4" t="s">
        <v>459</v>
      </c>
      <c r="G1134" s="4">
        <v>5.0</v>
      </c>
      <c r="H1134" s="6">
        <v>7439.2</v>
      </c>
      <c r="I1134" s="6">
        <v>37196.0</v>
      </c>
      <c r="J1134" s="6">
        <v>27203.21</v>
      </c>
      <c r="K1134" s="6">
        <v>9992.79</v>
      </c>
      <c r="L1134" s="4" t="str">
        <f t="shared" si="1"/>
        <v>Dec-2025</v>
      </c>
    </row>
    <row r="1135" ht="15.75" customHeight="1">
      <c r="A1135" s="4" t="s">
        <v>1457</v>
      </c>
      <c r="B1135" s="5">
        <v>46005.0</v>
      </c>
      <c r="C1135" s="4" t="s">
        <v>18</v>
      </c>
      <c r="D1135" s="4" t="s">
        <v>19</v>
      </c>
      <c r="E1135" s="4" t="s">
        <v>25</v>
      </c>
      <c r="F1135" s="4" t="s">
        <v>330</v>
      </c>
      <c r="G1135" s="4">
        <v>3.0</v>
      </c>
      <c r="H1135" s="6">
        <v>4595.35</v>
      </c>
      <c r="I1135" s="6">
        <v>13786.05</v>
      </c>
      <c r="J1135" s="6">
        <v>12025.09</v>
      </c>
      <c r="K1135" s="6">
        <v>1760.96</v>
      </c>
      <c r="L1135" s="4" t="str">
        <f t="shared" si="1"/>
        <v>Dec-2025</v>
      </c>
    </row>
    <row r="1136" ht="15.75" customHeight="1">
      <c r="A1136" s="4" t="s">
        <v>1458</v>
      </c>
      <c r="B1136" s="5">
        <v>46005.0</v>
      </c>
      <c r="C1136" s="4" t="s">
        <v>13</v>
      </c>
      <c r="D1136" s="4" t="s">
        <v>14</v>
      </c>
      <c r="E1136" s="4" t="s">
        <v>29</v>
      </c>
      <c r="F1136" s="4" t="s">
        <v>143</v>
      </c>
      <c r="G1136" s="4">
        <v>6.0</v>
      </c>
      <c r="H1136" s="6">
        <v>120.4</v>
      </c>
      <c r="I1136" s="6">
        <v>722.4</v>
      </c>
      <c r="J1136" s="6">
        <v>603.99</v>
      </c>
      <c r="K1136" s="6">
        <v>118.41</v>
      </c>
      <c r="L1136" s="4" t="str">
        <f t="shared" si="1"/>
        <v>Dec-2025</v>
      </c>
    </row>
    <row r="1137" ht="15.75" customHeight="1">
      <c r="A1137" s="4" t="s">
        <v>1459</v>
      </c>
      <c r="B1137" s="5">
        <v>46006.0</v>
      </c>
      <c r="C1137" s="4" t="s">
        <v>28</v>
      </c>
      <c r="D1137" s="4" t="s">
        <v>14</v>
      </c>
      <c r="E1137" s="4" t="s">
        <v>25</v>
      </c>
      <c r="F1137" s="4" t="s">
        <v>405</v>
      </c>
      <c r="G1137" s="4">
        <v>1.0</v>
      </c>
      <c r="H1137" s="6">
        <v>987.29</v>
      </c>
      <c r="I1137" s="6">
        <v>987.29</v>
      </c>
      <c r="J1137" s="6">
        <v>833.43</v>
      </c>
      <c r="K1137" s="6">
        <v>153.86</v>
      </c>
      <c r="L1137" s="4" t="str">
        <f t="shared" si="1"/>
        <v>Dec-2025</v>
      </c>
    </row>
    <row r="1138" ht="15.75" customHeight="1">
      <c r="A1138" s="4" t="s">
        <v>1460</v>
      </c>
      <c r="B1138" s="5">
        <v>46006.0</v>
      </c>
      <c r="C1138" s="4" t="s">
        <v>109</v>
      </c>
      <c r="D1138" s="4" t="s">
        <v>42</v>
      </c>
      <c r="E1138" s="4" t="s">
        <v>15</v>
      </c>
      <c r="F1138" s="4" t="s">
        <v>293</v>
      </c>
      <c r="G1138" s="4">
        <v>5.0</v>
      </c>
      <c r="H1138" s="6">
        <v>546.62</v>
      </c>
      <c r="I1138" s="6">
        <v>2733.1</v>
      </c>
      <c r="J1138" s="6">
        <v>2260.84</v>
      </c>
      <c r="K1138" s="6">
        <v>472.26</v>
      </c>
      <c r="L1138" s="4" t="str">
        <f t="shared" si="1"/>
        <v>Dec-2025</v>
      </c>
    </row>
    <row r="1139" ht="15.75" customHeight="1">
      <c r="A1139" s="4" t="s">
        <v>1461</v>
      </c>
      <c r="B1139" s="5">
        <v>46006.0</v>
      </c>
      <c r="C1139" s="4" t="s">
        <v>41</v>
      </c>
      <c r="D1139" s="4" t="s">
        <v>42</v>
      </c>
      <c r="E1139" s="4" t="s">
        <v>20</v>
      </c>
      <c r="F1139" s="4" t="s">
        <v>311</v>
      </c>
      <c r="G1139" s="4">
        <v>6.0</v>
      </c>
      <c r="H1139" s="6">
        <v>879.43</v>
      </c>
      <c r="I1139" s="6">
        <v>5276.58</v>
      </c>
      <c r="J1139" s="6">
        <v>4086.77</v>
      </c>
      <c r="K1139" s="6">
        <v>1189.81</v>
      </c>
      <c r="L1139" s="4" t="str">
        <f t="shared" si="1"/>
        <v>Dec-2025</v>
      </c>
    </row>
    <row r="1140" ht="15.75" customHeight="1">
      <c r="A1140" s="4" t="s">
        <v>1462</v>
      </c>
      <c r="B1140" s="5">
        <v>46006.0</v>
      </c>
      <c r="C1140" s="4" t="s">
        <v>69</v>
      </c>
      <c r="D1140" s="4" t="s">
        <v>19</v>
      </c>
      <c r="E1140" s="4" t="s">
        <v>15</v>
      </c>
      <c r="F1140" s="4" t="s">
        <v>197</v>
      </c>
      <c r="G1140" s="4">
        <v>5.0</v>
      </c>
      <c r="H1140" s="6">
        <v>6997.55</v>
      </c>
      <c r="I1140" s="6">
        <v>34987.75</v>
      </c>
      <c r="J1140" s="6">
        <v>31302.31</v>
      </c>
      <c r="K1140" s="6">
        <v>3685.44</v>
      </c>
      <c r="L1140" s="4" t="str">
        <f t="shared" si="1"/>
        <v>Dec-2025</v>
      </c>
    </row>
    <row r="1141" ht="15.75" customHeight="1">
      <c r="A1141" s="4" t="s">
        <v>1463</v>
      </c>
      <c r="B1141" s="5">
        <v>46006.0</v>
      </c>
      <c r="C1141" s="4" t="s">
        <v>75</v>
      </c>
      <c r="D1141" s="4" t="s">
        <v>24</v>
      </c>
      <c r="E1141" s="4" t="s">
        <v>29</v>
      </c>
      <c r="F1141" s="4" t="s">
        <v>352</v>
      </c>
      <c r="G1141" s="4">
        <v>2.0</v>
      </c>
      <c r="H1141" s="6">
        <v>10109.09</v>
      </c>
      <c r="I1141" s="6">
        <v>20218.18</v>
      </c>
      <c r="J1141" s="6">
        <v>16260.48</v>
      </c>
      <c r="K1141" s="6">
        <v>3957.7</v>
      </c>
      <c r="L1141" s="4" t="str">
        <f t="shared" si="1"/>
        <v>Dec-2025</v>
      </c>
    </row>
    <row r="1142" ht="15.75" customHeight="1">
      <c r="A1142" s="4" t="s">
        <v>1464</v>
      </c>
      <c r="B1142" s="5">
        <v>46006.0</v>
      </c>
      <c r="C1142" s="4" t="s">
        <v>18</v>
      </c>
      <c r="D1142" s="4" t="s">
        <v>19</v>
      </c>
      <c r="E1142" s="4" t="s">
        <v>25</v>
      </c>
      <c r="F1142" s="4" t="s">
        <v>39</v>
      </c>
      <c r="G1142" s="4">
        <v>1.0</v>
      </c>
      <c r="H1142" s="6">
        <v>17270.33</v>
      </c>
      <c r="I1142" s="6">
        <v>17270.33</v>
      </c>
      <c r="J1142" s="6">
        <v>15409.82</v>
      </c>
      <c r="K1142" s="6">
        <v>1860.51</v>
      </c>
      <c r="L1142" s="4" t="str">
        <f t="shared" si="1"/>
        <v>Dec-2025</v>
      </c>
    </row>
    <row r="1143" ht="15.75" customHeight="1">
      <c r="A1143" s="4" t="s">
        <v>1465</v>
      </c>
      <c r="B1143" s="5">
        <v>46007.0</v>
      </c>
      <c r="C1143" s="4" t="s">
        <v>41</v>
      </c>
      <c r="D1143" s="4" t="s">
        <v>42</v>
      </c>
      <c r="E1143" s="4" t="s">
        <v>29</v>
      </c>
      <c r="F1143" s="4" t="s">
        <v>229</v>
      </c>
      <c r="G1143" s="4">
        <v>3.0</v>
      </c>
      <c r="H1143" s="6">
        <v>349.35</v>
      </c>
      <c r="I1143" s="6">
        <v>1048.05</v>
      </c>
      <c r="J1143" s="6">
        <v>942.64</v>
      </c>
      <c r="K1143" s="6">
        <v>105.41</v>
      </c>
      <c r="L1143" s="4" t="str">
        <f t="shared" si="1"/>
        <v>Dec-2025</v>
      </c>
    </row>
    <row r="1144" ht="15.75" customHeight="1">
      <c r="A1144" s="4" t="s">
        <v>1466</v>
      </c>
      <c r="B1144" s="5">
        <v>46007.0</v>
      </c>
      <c r="C1144" s="4" t="s">
        <v>66</v>
      </c>
      <c r="D1144" s="4" t="s">
        <v>42</v>
      </c>
      <c r="E1144" s="4" t="s">
        <v>15</v>
      </c>
      <c r="F1144" s="4" t="s">
        <v>97</v>
      </c>
      <c r="G1144" s="4">
        <v>7.0</v>
      </c>
      <c r="H1144" s="6">
        <v>4259.14</v>
      </c>
      <c r="I1144" s="6">
        <v>29813.98</v>
      </c>
      <c r="J1144" s="6">
        <v>24280.08</v>
      </c>
      <c r="K1144" s="6">
        <v>5533.9</v>
      </c>
      <c r="L1144" s="4" t="str">
        <f t="shared" si="1"/>
        <v>Dec-2025</v>
      </c>
    </row>
    <row r="1145" ht="15.75" customHeight="1">
      <c r="A1145" s="4" t="s">
        <v>1467</v>
      </c>
      <c r="B1145" s="5">
        <v>46008.0</v>
      </c>
      <c r="C1145" s="4" t="s">
        <v>155</v>
      </c>
      <c r="D1145" s="4" t="s">
        <v>24</v>
      </c>
      <c r="E1145" s="4" t="s">
        <v>20</v>
      </c>
      <c r="F1145" s="4" t="s">
        <v>99</v>
      </c>
      <c r="G1145" s="4">
        <v>6.0</v>
      </c>
      <c r="H1145" s="6">
        <v>9715.88</v>
      </c>
      <c r="I1145" s="6">
        <v>58295.28</v>
      </c>
      <c r="J1145" s="6">
        <v>46404.75</v>
      </c>
      <c r="K1145" s="6">
        <v>11890.53</v>
      </c>
      <c r="L1145" s="4" t="str">
        <f t="shared" si="1"/>
        <v>Dec-2025</v>
      </c>
    </row>
    <row r="1146" ht="15.75" customHeight="1">
      <c r="A1146" s="4" t="s">
        <v>1468</v>
      </c>
      <c r="B1146" s="5">
        <v>46009.0</v>
      </c>
      <c r="C1146" s="4" t="s">
        <v>140</v>
      </c>
      <c r="D1146" s="4" t="s">
        <v>14</v>
      </c>
      <c r="E1146" s="4" t="s">
        <v>25</v>
      </c>
      <c r="F1146" s="4" t="s">
        <v>225</v>
      </c>
      <c r="G1146" s="4">
        <v>7.0</v>
      </c>
      <c r="H1146" s="6">
        <v>306.87</v>
      </c>
      <c r="I1146" s="6">
        <v>2148.09</v>
      </c>
      <c r="J1146" s="6">
        <v>1480.93</v>
      </c>
      <c r="K1146" s="6">
        <v>667.16</v>
      </c>
      <c r="L1146" s="4" t="str">
        <f t="shared" si="1"/>
        <v>Dec-2025</v>
      </c>
    </row>
    <row r="1147" ht="15.75" customHeight="1">
      <c r="A1147" s="4" t="s">
        <v>1469</v>
      </c>
      <c r="B1147" s="5">
        <v>46009.0</v>
      </c>
      <c r="C1147" s="4" t="s">
        <v>66</v>
      </c>
      <c r="D1147" s="4" t="s">
        <v>42</v>
      </c>
      <c r="E1147" s="4" t="s">
        <v>25</v>
      </c>
      <c r="F1147" s="4" t="s">
        <v>352</v>
      </c>
      <c r="G1147" s="4">
        <v>6.0</v>
      </c>
      <c r="H1147" s="6">
        <v>4099.17</v>
      </c>
      <c r="I1147" s="6">
        <v>24595.02</v>
      </c>
      <c r="J1147" s="6">
        <v>19989.98</v>
      </c>
      <c r="K1147" s="6">
        <v>4605.04</v>
      </c>
      <c r="L1147" s="4" t="str">
        <f t="shared" si="1"/>
        <v>Dec-2025</v>
      </c>
    </row>
    <row r="1148" ht="15.75" customHeight="1">
      <c r="A1148" s="4" t="s">
        <v>1470</v>
      </c>
      <c r="B1148" s="5">
        <v>46009.0</v>
      </c>
      <c r="C1148" s="4" t="s">
        <v>66</v>
      </c>
      <c r="D1148" s="4" t="s">
        <v>42</v>
      </c>
      <c r="E1148" s="4" t="s">
        <v>15</v>
      </c>
      <c r="F1148" s="4" t="s">
        <v>169</v>
      </c>
      <c r="G1148" s="4">
        <v>6.0</v>
      </c>
      <c r="H1148" s="6">
        <v>4575.27</v>
      </c>
      <c r="I1148" s="6">
        <v>27451.62</v>
      </c>
      <c r="J1148" s="6">
        <v>22534.09</v>
      </c>
      <c r="K1148" s="6">
        <v>4917.53</v>
      </c>
      <c r="L1148" s="4" t="str">
        <f t="shared" si="1"/>
        <v>Dec-2025</v>
      </c>
    </row>
    <row r="1149" ht="15.75" customHeight="1">
      <c r="A1149" s="4" t="s">
        <v>1471</v>
      </c>
      <c r="B1149" s="5">
        <v>46009.0</v>
      </c>
      <c r="C1149" s="4" t="s">
        <v>66</v>
      </c>
      <c r="D1149" s="4" t="s">
        <v>42</v>
      </c>
      <c r="E1149" s="4" t="s">
        <v>20</v>
      </c>
      <c r="F1149" s="4" t="s">
        <v>84</v>
      </c>
      <c r="G1149" s="4">
        <v>5.0</v>
      </c>
      <c r="H1149" s="6">
        <v>2312.87</v>
      </c>
      <c r="I1149" s="6">
        <v>11564.35</v>
      </c>
      <c r="J1149" s="6">
        <v>9126.13</v>
      </c>
      <c r="K1149" s="6">
        <v>2438.22</v>
      </c>
      <c r="L1149" s="4" t="str">
        <f t="shared" si="1"/>
        <v>Dec-2025</v>
      </c>
    </row>
    <row r="1150" ht="15.75" customHeight="1">
      <c r="A1150" s="4" t="s">
        <v>1472</v>
      </c>
      <c r="B1150" s="5">
        <v>46010.0</v>
      </c>
      <c r="C1150" s="4" t="s">
        <v>35</v>
      </c>
      <c r="D1150" s="4" t="s">
        <v>14</v>
      </c>
      <c r="E1150" s="4" t="s">
        <v>25</v>
      </c>
      <c r="F1150" s="4" t="s">
        <v>626</v>
      </c>
      <c r="G1150" s="4">
        <v>6.0</v>
      </c>
      <c r="H1150" s="6">
        <v>873.99</v>
      </c>
      <c r="I1150" s="6">
        <v>5243.94</v>
      </c>
      <c r="J1150" s="6">
        <v>4159.8</v>
      </c>
      <c r="K1150" s="6">
        <v>1084.14</v>
      </c>
      <c r="L1150" s="4" t="str">
        <f t="shared" si="1"/>
        <v>Dec-2025</v>
      </c>
    </row>
    <row r="1151" ht="15.75" customHeight="1">
      <c r="A1151" s="4" t="s">
        <v>1473</v>
      </c>
      <c r="B1151" s="5">
        <v>46010.0</v>
      </c>
      <c r="C1151" s="4" t="s">
        <v>72</v>
      </c>
      <c r="D1151" s="4" t="s">
        <v>24</v>
      </c>
      <c r="E1151" s="4" t="s">
        <v>25</v>
      </c>
      <c r="F1151" s="4" t="s">
        <v>268</v>
      </c>
      <c r="G1151" s="4">
        <v>1.0</v>
      </c>
      <c r="H1151" s="6">
        <v>15967.83</v>
      </c>
      <c r="I1151" s="6">
        <v>15967.83</v>
      </c>
      <c r="J1151" s="6">
        <v>11945.18</v>
      </c>
      <c r="K1151" s="6">
        <v>4022.65</v>
      </c>
      <c r="L1151" s="4" t="str">
        <f t="shared" si="1"/>
        <v>Dec-2025</v>
      </c>
    </row>
    <row r="1152" ht="15.75" customHeight="1">
      <c r="A1152" s="4" t="s">
        <v>1474</v>
      </c>
      <c r="B1152" s="5">
        <v>46011.0</v>
      </c>
      <c r="C1152" s="4" t="s">
        <v>18</v>
      </c>
      <c r="D1152" s="4" t="s">
        <v>19</v>
      </c>
      <c r="E1152" s="4" t="s">
        <v>25</v>
      </c>
      <c r="F1152" s="4" t="s">
        <v>219</v>
      </c>
      <c r="G1152" s="4">
        <v>6.0</v>
      </c>
      <c r="H1152" s="6">
        <v>43495.38</v>
      </c>
      <c r="I1152" s="6">
        <v>260972.28</v>
      </c>
      <c r="J1152" s="6">
        <v>239401.1</v>
      </c>
      <c r="K1152" s="6">
        <v>21571.18</v>
      </c>
      <c r="L1152" s="4" t="str">
        <f t="shared" si="1"/>
        <v>Dec-2025</v>
      </c>
    </row>
    <row r="1153" ht="15.75" customHeight="1">
      <c r="A1153" s="4" t="s">
        <v>1475</v>
      </c>
      <c r="B1153" s="5">
        <v>46012.0</v>
      </c>
      <c r="C1153" s="4" t="s">
        <v>72</v>
      </c>
      <c r="D1153" s="4" t="s">
        <v>24</v>
      </c>
      <c r="E1153" s="4" t="s">
        <v>29</v>
      </c>
      <c r="F1153" s="4" t="s">
        <v>288</v>
      </c>
      <c r="G1153" s="4">
        <v>5.0</v>
      </c>
      <c r="H1153" s="6">
        <v>15654.7</v>
      </c>
      <c r="I1153" s="6">
        <v>78273.5</v>
      </c>
      <c r="J1153" s="6">
        <v>61605.0</v>
      </c>
      <c r="K1153" s="6">
        <v>16668.5</v>
      </c>
      <c r="L1153" s="4" t="str">
        <f t="shared" si="1"/>
        <v>Dec-2025</v>
      </c>
    </row>
    <row r="1154" ht="15.75" customHeight="1">
      <c r="A1154" s="4" t="s">
        <v>1476</v>
      </c>
      <c r="B1154" s="5">
        <v>46012.0</v>
      </c>
      <c r="C1154" s="4" t="s">
        <v>50</v>
      </c>
      <c r="D1154" s="4" t="s">
        <v>42</v>
      </c>
      <c r="E1154" s="4" t="s">
        <v>25</v>
      </c>
      <c r="F1154" s="4" t="s">
        <v>856</v>
      </c>
      <c r="G1154" s="4">
        <v>4.0</v>
      </c>
      <c r="H1154" s="6">
        <v>3830.97</v>
      </c>
      <c r="I1154" s="6">
        <v>15323.88</v>
      </c>
      <c r="J1154" s="6">
        <v>13698.78</v>
      </c>
      <c r="K1154" s="6">
        <v>1625.1</v>
      </c>
      <c r="L1154" s="4" t="str">
        <f t="shared" si="1"/>
        <v>Dec-2025</v>
      </c>
    </row>
    <row r="1155" ht="15.75" customHeight="1">
      <c r="A1155" s="4" t="s">
        <v>1477</v>
      </c>
      <c r="B1155" s="5">
        <v>46012.0</v>
      </c>
      <c r="C1155" s="4" t="s">
        <v>13</v>
      </c>
      <c r="D1155" s="4" t="s">
        <v>14</v>
      </c>
      <c r="E1155" s="4" t="s">
        <v>20</v>
      </c>
      <c r="F1155" s="4" t="s">
        <v>461</v>
      </c>
      <c r="G1155" s="4">
        <v>1.0</v>
      </c>
      <c r="H1155" s="6">
        <v>824.77</v>
      </c>
      <c r="I1155" s="6">
        <v>824.77</v>
      </c>
      <c r="J1155" s="6">
        <v>659.32</v>
      </c>
      <c r="K1155" s="6">
        <v>165.45</v>
      </c>
      <c r="L1155" s="4" t="str">
        <f t="shared" si="1"/>
        <v>Dec-2025</v>
      </c>
    </row>
    <row r="1156" ht="15.75" customHeight="1">
      <c r="A1156" s="4" t="s">
        <v>1478</v>
      </c>
      <c r="B1156" s="5">
        <v>46012.0</v>
      </c>
      <c r="C1156" s="4" t="s">
        <v>13</v>
      </c>
      <c r="D1156" s="4" t="s">
        <v>14</v>
      </c>
      <c r="E1156" s="4" t="s">
        <v>15</v>
      </c>
      <c r="F1156" s="4" t="s">
        <v>1030</v>
      </c>
      <c r="G1156" s="4">
        <v>3.0</v>
      </c>
      <c r="H1156" s="6">
        <v>527.65</v>
      </c>
      <c r="I1156" s="6">
        <v>1582.95</v>
      </c>
      <c r="J1156" s="6">
        <v>1117.7</v>
      </c>
      <c r="K1156" s="6">
        <v>465.25</v>
      </c>
      <c r="L1156" s="4" t="str">
        <f t="shared" si="1"/>
        <v>Dec-2025</v>
      </c>
    </row>
    <row r="1157" ht="15.75" customHeight="1">
      <c r="A1157" s="4" t="s">
        <v>1479</v>
      </c>
      <c r="B1157" s="5">
        <v>46013.0</v>
      </c>
      <c r="C1157" s="4" t="s">
        <v>72</v>
      </c>
      <c r="D1157" s="4" t="s">
        <v>24</v>
      </c>
      <c r="E1157" s="4" t="s">
        <v>15</v>
      </c>
      <c r="F1157" s="4" t="s">
        <v>93</v>
      </c>
      <c r="G1157" s="4">
        <v>3.0</v>
      </c>
      <c r="H1157" s="6">
        <v>12760.93</v>
      </c>
      <c r="I1157" s="6">
        <v>38282.79</v>
      </c>
      <c r="J1157" s="6">
        <v>29759.48</v>
      </c>
      <c r="K1157" s="6">
        <v>8523.31</v>
      </c>
      <c r="L1157" s="4" t="str">
        <f t="shared" si="1"/>
        <v>Dec-2025</v>
      </c>
    </row>
    <row r="1158" ht="15.75" customHeight="1">
      <c r="A1158" s="4" t="s">
        <v>1480</v>
      </c>
      <c r="B1158" s="5">
        <v>46013.0</v>
      </c>
      <c r="C1158" s="4" t="s">
        <v>18</v>
      </c>
      <c r="D1158" s="4" t="s">
        <v>19</v>
      </c>
      <c r="E1158" s="4" t="s">
        <v>25</v>
      </c>
      <c r="F1158" s="4" t="s">
        <v>55</v>
      </c>
      <c r="G1158" s="4">
        <v>3.0</v>
      </c>
      <c r="H1158" s="6">
        <v>23904.06</v>
      </c>
      <c r="I1158" s="6">
        <v>71712.18</v>
      </c>
      <c r="J1158" s="6">
        <v>58472.98</v>
      </c>
      <c r="K1158" s="6">
        <v>13239.2</v>
      </c>
      <c r="L1158" s="4" t="str">
        <f t="shared" si="1"/>
        <v>Dec-2025</v>
      </c>
    </row>
    <row r="1159" ht="15.75" customHeight="1">
      <c r="A1159" s="4" t="s">
        <v>1481</v>
      </c>
      <c r="B1159" s="5">
        <v>46013.0</v>
      </c>
      <c r="C1159" s="4" t="s">
        <v>109</v>
      </c>
      <c r="D1159" s="4" t="s">
        <v>42</v>
      </c>
      <c r="E1159" s="4" t="s">
        <v>29</v>
      </c>
      <c r="F1159" s="4" t="s">
        <v>485</v>
      </c>
      <c r="G1159" s="4">
        <v>4.0</v>
      </c>
      <c r="H1159" s="6">
        <v>1981.11</v>
      </c>
      <c r="I1159" s="6">
        <v>7924.44</v>
      </c>
      <c r="J1159" s="6">
        <v>6138.82</v>
      </c>
      <c r="K1159" s="6">
        <v>1785.62</v>
      </c>
      <c r="L1159" s="4" t="str">
        <f t="shared" si="1"/>
        <v>Dec-2025</v>
      </c>
    </row>
    <row r="1160" ht="15.75" customHeight="1">
      <c r="A1160" s="4" t="s">
        <v>1482</v>
      </c>
      <c r="B1160" s="5">
        <v>46013.0</v>
      </c>
      <c r="C1160" s="4" t="s">
        <v>102</v>
      </c>
      <c r="D1160" s="4" t="s">
        <v>24</v>
      </c>
      <c r="E1160" s="4" t="s">
        <v>29</v>
      </c>
      <c r="F1160" s="4" t="s">
        <v>309</v>
      </c>
      <c r="G1160" s="4">
        <v>2.0</v>
      </c>
      <c r="H1160" s="6">
        <v>6023.63</v>
      </c>
      <c r="I1160" s="6">
        <v>12047.26</v>
      </c>
      <c r="J1160" s="6">
        <v>8982.89</v>
      </c>
      <c r="K1160" s="6">
        <v>3064.37</v>
      </c>
      <c r="L1160" s="4" t="str">
        <f t="shared" si="1"/>
        <v>Dec-2025</v>
      </c>
    </row>
    <row r="1161" ht="15.75" customHeight="1">
      <c r="A1161" s="4" t="s">
        <v>1483</v>
      </c>
      <c r="B1161" s="5">
        <v>46013.0</v>
      </c>
      <c r="C1161" s="4" t="s">
        <v>47</v>
      </c>
      <c r="D1161" s="4" t="s">
        <v>14</v>
      </c>
      <c r="E1161" s="4" t="s">
        <v>29</v>
      </c>
      <c r="F1161" s="4" t="s">
        <v>266</v>
      </c>
      <c r="G1161" s="4">
        <v>5.0</v>
      </c>
      <c r="H1161" s="6">
        <v>1130.0</v>
      </c>
      <c r="I1161" s="6">
        <v>5650.0</v>
      </c>
      <c r="J1161" s="6">
        <v>4742.46</v>
      </c>
      <c r="K1161" s="6">
        <v>907.54</v>
      </c>
      <c r="L1161" s="4" t="str">
        <f t="shared" si="1"/>
        <v>Dec-2025</v>
      </c>
    </row>
    <row r="1162" ht="15.75" customHeight="1">
      <c r="A1162" s="4" t="s">
        <v>1484</v>
      </c>
      <c r="B1162" s="5">
        <v>46013.0</v>
      </c>
      <c r="C1162" s="4" t="s">
        <v>50</v>
      </c>
      <c r="D1162" s="4" t="s">
        <v>42</v>
      </c>
      <c r="E1162" s="4" t="s">
        <v>20</v>
      </c>
      <c r="F1162" s="4" t="s">
        <v>123</v>
      </c>
      <c r="G1162" s="4">
        <v>1.0</v>
      </c>
      <c r="H1162" s="6">
        <v>4557.25</v>
      </c>
      <c r="I1162" s="6">
        <v>4557.25</v>
      </c>
      <c r="J1162" s="6">
        <v>3560.59</v>
      </c>
      <c r="K1162" s="6">
        <v>996.66</v>
      </c>
      <c r="L1162" s="4" t="str">
        <f t="shared" si="1"/>
        <v>Dec-2025</v>
      </c>
    </row>
    <row r="1163" ht="15.75" customHeight="1">
      <c r="A1163" s="4" t="s">
        <v>1485</v>
      </c>
      <c r="B1163" s="5">
        <v>46013.0</v>
      </c>
      <c r="C1163" s="4" t="s">
        <v>109</v>
      </c>
      <c r="D1163" s="4" t="s">
        <v>42</v>
      </c>
      <c r="E1163" s="4" t="s">
        <v>20</v>
      </c>
      <c r="F1163" s="4" t="s">
        <v>266</v>
      </c>
      <c r="G1163" s="4">
        <v>3.0</v>
      </c>
      <c r="H1163" s="6">
        <v>1643.15</v>
      </c>
      <c r="I1163" s="6">
        <v>4929.45</v>
      </c>
      <c r="J1163" s="6">
        <v>3788.33</v>
      </c>
      <c r="K1163" s="6">
        <v>1141.12</v>
      </c>
      <c r="L1163" s="4" t="str">
        <f t="shared" si="1"/>
        <v>Dec-2025</v>
      </c>
    </row>
    <row r="1164" ht="15.75" customHeight="1">
      <c r="A1164" s="4" t="s">
        <v>1486</v>
      </c>
      <c r="B1164" s="5">
        <v>46013.0</v>
      </c>
      <c r="C1164" s="4" t="s">
        <v>155</v>
      </c>
      <c r="D1164" s="4" t="s">
        <v>24</v>
      </c>
      <c r="E1164" s="4" t="s">
        <v>29</v>
      </c>
      <c r="F1164" s="4" t="s">
        <v>1487</v>
      </c>
      <c r="G1164" s="4">
        <v>2.0</v>
      </c>
      <c r="H1164" s="6">
        <v>4369.01</v>
      </c>
      <c r="I1164" s="6">
        <v>8738.02</v>
      </c>
      <c r="J1164" s="6">
        <v>7296.2</v>
      </c>
      <c r="K1164" s="6">
        <v>1441.82</v>
      </c>
      <c r="L1164" s="4" t="str">
        <f t="shared" si="1"/>
        <v>Dec-2025</v>
      </c>
    </row>
    <row r="1165" ht="15.75" customHeight="1">
      <c r="A1165" s="4" t="s">
        <v>1488</v>
      </c>
      <c r="B1165" s="5">
        <v>46013.0</v>
      </c>
      <c r="C1165" s="4" t="s">
        <v>61</v>
      </c>
      <c r="D1165" s="4" t="s">
        <v>19</v>
      </c>
      <c r="E1165" s="4" t="s">
        <v>20</v>
      </c>
      <c r="F1165" s="4" t="s">
        <v>270</v>
      </c>
      <c r="G1165" s="4">
        <v>6.0</v>
      </c>
      <c r="H1165" s="6">
        <v>7245.23</v>
      </c>
      <c r="I1165" s="6">
        <v>43471.38</v>
      </c>
      <c r="J1165" s="6">
        <v>36333.13</v>
      </c>
      <c r="K1165" s="6">
        <v>7138.25</v>
      </c>
      <c r="L1165" s="4" t="str">
        <f t="shared" si="1"/>
        <v>Dec-2025</v>
      </c>
    </row>
    <row r="1166" ht="15.75" customHeight="1">
      <c r="A1166" s="4" t="s">
        <v>1489</v>
      </c>
      <c r="B1166" s="5">
        <v>46014.0</v>
      </c>
      <c r="C1166" s="4" t="s">
        <v>50</v>
      </c>
      <c r="D1166" s="4" t="s">
        <v>42</v>
      </c>
      <c r="E1166" s="4" t="s">
        <v>29</v>
      </c>
      <c r="F1166" s="4" t="s">
        <v>201</v>
      </c>
      <c r="G1166" s="4">
        <v>1.0</v>
      </c>
      <c r="H1166" s="6">
        <v>2275.26</v>
      </c>
      <c r="I1166" s="6">
        <v>2275.26</v>
      </c>
      <c r="J1166" s="6">
        <v>1747.68</v>
      </c>
      <c r="K1166" s="6">
        <v>527.58</v>
      </c>
      <c r="L1166" s="4" t="str">
        <f t="shared" si="1"/>
        <v>Dec-2025</v>
      </c>
    </row>
    <row r="1167" ht="15.75" customHeight="1">
      <c r="A1167" s="4" t="s">
        <v>1490</v>
      </c>
      <c r="B1167" s="5">
        <v>46014.0</v>
      </c>
      <c r="C1167" s="4" t="s">
        <v>35</v>
      </c>
      <c r="D1167" s="4" t="s">
        <v>14</v>
      </c>
      <c r="E1167" s="4" t="s">
        <v>15</v>
      </c>
      <c r="F1167" s="4" t="s">
        <v>229</v>
      </c>
      <c r="G1167" s="4">
        <v>6.0</v>
      </c>
      <c r="H1167" s="6">
        <v>1136.94</v>
      </c>
      <c r="I1167" s="6">
        <v>6821.64</v>
      </c>
      <c r="J1167" s="6">
        <v>5381.15</v>
      </c>
      <c r="K1167" s="6">
        <v>1440.49</v>
      </c>
      <c r="L1167" s="4" t="str">
        <f t="shared" si="1"/>
        <v>Dec-2025</v>
      </c>
    </row>
    <row r="1168" ht="15.75" customHeight="1">
      <c r="A1168" s="4" t="s">
        <v>1491</v>
      </c>
      <c r="B1168" s="5">
        <v>46014.0</v>
      </c>
      <c r="C1168" s="4" t="s">
        <v>28</v>
      </c>
      <c r="D1168" s="4" t="s">
        <v>14</v>
      </c>
      <c r="E1168" s="4" t="s">
        <v>20</v>
      </c>
      <c r="F1168" s="4" t="s">
        <v>309</v>
      </c>
      <c r="G1168" s="4">
        <v>5.0</v>
      </c>
      <c r="H1168" s="6">
        <v>76.15</v>
      </c>
      <c r="I1168" s="6">
        <v>380.75</v>
      </c>
      <c r="J1168" s="6">
        <v>271.9</v>
      </c>
      <c r="K1168" s="6">
        <v>108.85</v>
      </c>
      <c r="L1168" s="4" t="str">
        <f t="shared" si="1"/>
        <v>Dec-2025</v>
      </c>
    </row>
    <row r="1169" ht="15.75" customHeight="1">
      <c r="A1169" s="4" t="s">
        <v>1492</v>
      </c>
      <c r="B1169" s="5">
        <v>46015.0</v>
      </c>
      <c r="C1169" s="4" t="s">
        <v>23</v>
      </c>
      <c r="D1169" s="4" t="s">
        <v>24</v>
      </c>
      <c r="E1169" s="4" t="s">
        <v>29</v>
      </c>
      <c r="F1169" s="4" t="s">
        <v>57</v>
      </c>
      <c r="G1169" s="4">
        <v>7.0</v>
      </c>
      <c r="H1169" s="6">
        <v>14003.48</v>
      </c>
      <c r="I1169" s="6">
        <v>98024.36</v>
      </c>
      <c r="J1169" s="6">
        <v>72935.65</v>
      </c>
      <c r="K1169" s="6">
        <v>25088.71</v>
      </c>
      <c r="L1169" s="4" t="str">
        <f t="shared" si="1"/>
        <v>Dec-2025</v>
      </c>
    </row>
    <row r="1170" ht="15.75" customHeight="1">
      <c r="A1170" s="4" t="s">
        <v>1493</v>
      </c>
      <c r="B1170" s="5">
        <v>46015.0</v>
      </c>
      <c r="C1170" s="4" t="s">
        <v>38</v>
      </c>
      <c r="D1170" s="4" t="s">
        <v>19</v>
      </c>
      <c r="E1170" s="4" t="s">
        <v>29</v>
      </c>
      <c r="F1170" s="4" t="s">
        <v>55</v>
      </c>
      <c r="G1170" s="4">
        <v>3.0</v>
      </c>
      <c r="H1170" s="6">
        <v>26913.19</v>
      </c>
      <c r="I1170" s="6">
        <v>80739.57</v>
      </c>
      <c r="J1170" s="6">
        <v>69957.78</v>
      </c>
      <c r="K1170" s="6">
        <v>10781.79</v>
      </c>
      <c r="L1170" s="4" t="str">
        <f t="shared" si="1"/>
        <v>Dec-2025</v>
      </c>
    </row>
    <row r="1171" ht="15.75" customHeight="1">
      <c r="A1171" s="4" t="s">
        <v>1494</v>
      </c>
      <c r="B1171" s="5">
        <v>46015.0</v>
      </c>
      <c r="C1171" s="4" t="s">
        <v>18</v>
      </c>
      <c r="D1171" s="4" t="s">
        <v>19</v>
      </c>
      <c r="E1171" s="4" t="s">
        <v>25</v>
      </c>
      <c r="F1171" s="4" t="s">
        <v>713</v>
      </c>
      <c r="G1171" s="4">
        <v>1.0</v>
      </c>
      <c r="H1171" s="6">
        <v>69416.26</v>
      </c>
      <c r="I1171" s="6">
        <v>69416.26</v>
      </c>
      <c r="J1171" s="6">
        <v>56767.2</v>
      </c>
      <c r="K1171" s="6">
        <v>12649.06</v>
      </c>
      <c r="L1171" s="4" t="str">
        <f t="shared" si="1"/>
        <v>Dec-2025</v>
      </c>
    </row>
    <row r="1172" ht="15.75" customHeight="1">
      <c r="A1172" s="4" t="s">
        <v>1495</v>
      </c>
      <c r="B1172" s="5">
        <v>46015.0</v>
      </c>
      <c r="C1172" s="4" t="s">
        <v>47</v>
      </c>
      <c r="D1172" s="4" t="s">
        <v>14</v>
      </c>
      <c r="E1172" s="4" t="s">
        <v>15</v>
      </c>
      <c r="F1172" s="4" t="s">
        <v>557</v>
      </c>
      <c r="G1172" s="4">
        <v>6.0</v>
      </c>
      <c r="H1172" s="6">
        <v>541.9</v>
      </c>
      <c r="I1172" s="6">
        <v>3251.4</v>
      </c>
      <c r="J1172" s="6">
        <v>2703.43</v>
      </c>
      <c r="K1172" s="6">
        <v>547.97</v>
      </c>
      <c r="L1172" s="4" t="str">
        <f t="shared" si="1"/>
        <v>Dec-2025</v>
      </c>
    </row>
    <row r="1173" ht="15.75" customHeight="1">
      <c r="A1173" s="4" t="s">
        <v>1496</v>
      </c>
      <c r="B1173" s="5">
        <v>46016.0</v>
      </c>
      <c r="C1173" s="4" t="s">
        <v>32</v>
      </c>
      <c r="D1173" s="4" t="s">
        <v>19</v>
      </c>
      <c r="E1173" s="4" t="s">
        <v>25</v>
      </c>
      <c r="F1173" s="4" t="s">
        <v>184</v>
      </c>
      <c r="G1173" s="4">
        <v>2.0</v>
      </c>
      <c r="H1173" s="6">
        <v>39569.26</v>
      </c>
      <c r="I1173" s="6">
        <v>79138.52</v>
      </c>
      <c r="J1173" s="6">
        <v>66719.87</v>
      </c>
      <c r="K1173" s="6">
        <v>12418.65</v>
      </c>
      <c r="L1173" s="4" t="str">
        <f t="shared" si="1"/>
        <v>Dec-2025</v>
      </c>
    </row>
    <row r="1174" ht="15.75" customHeight="1">
      <c r="A1174" s="4" t="s">
        <v>1497</v>
      </c>
      <c r="B1174" s="5">
        <v>46017.0</v>
      </c>
      <c r="C1174" s="4" t="s">
        <v>75</v>
      </c>
      <c r="D1174" s="4" t="s">
        <v>24</v>
      </c>
      <c r="E1174" s="4" t="s">
        <v>29</v>
      </c>
      <c r="F1174" s="4" t="s">
        <v>86</v>
      </c>
      <c r="G1174" s="4">
        <v>4.0</v>
      </c>
      <c r="H1174" s="6">
        <v>10138.62</v>
      </c>
      <c r="I1174" s="6">
        <v>40554.48</v>
      </c>
      <c r="J1174" s="6">
        <v>32764.91</v>
      </c>
      <c r="K1174" s="6">
        <v>7789.57</v>
      </c>
      <c r="L1174" s="4" t="str">
        <f t="shared" si="1"/>
        <v>Dec-2025</v>
      </c>
    </row>
    <row r="1175" ht="15.75" customHeight="1">
      <c r="A1175" s="4" t="s">
        <v>1498</v>
      </c>
      <c r="B1175" s="5">
        <v>46017.0</v>
      </c>
      <c r="C1175" s="4" t="s">
        <v>61</v>
      </c>
      <c r="D1175" s="4" t="s">
        <v>19</v>
      </c>
      <c r="E1175" s="4" t="s">
        <v>20</v>
      </c>
      <c r="F1175" s="4" t="s">
        <v>413</v>
      </c>
      <c r="G1175" s="4">
        <v>7.0</v>
      </c>
      <c r="H1175" s="6">
        <v>58101.63</v>
      </c>
      <c r="I1175" s="6">
        <v>406711.41</v>
      </c>
      <c r="J1175" s="6">
        <v>352960.89</v>
      </c>
      <c r="K1175" s="6">
        <v>53750.52</v>
      </c>
      <c r="L1175" s="4" t="str">
        <f t="shared" si="1"/>
        <v>Dec-2025</v>
      </c>
    </row>
    <row r="1176" ht="15.75" customHeight="1">
      <c r="A1176" s="4" t="s">
        <v>1499</v>
      </c>
      <c r="B1176" s="5">
        <v>46017.0</v>
      </c>
      <c r="C1176" s="4" t="s">
        <v>109</v>
      </c>
      <c r="D1176" s="4" t="s">
        <v>42</v>
      </c>
      <c r="E1176" s="4" t="s">
        <v>25</v>
      </c>
      <c r="F1176" s="4" t="s">
        <v>541</v>
      </c>
      <c r="G1176" s="4">
        <v>2.0</v>
      </c>
      <c r="H1176" s="6">
        <v>4746.96</v>
      </c>
      <c r="I1176" s="6">
        <v>9493.92</v>
      </c>
      <c r="J1176" s="6">
        <v>7707.64</v>
      </c>
      <c r="K1176" s="6">
        <v>1786.28</v>
      </c>
      <c r="L1176" s="4" t="str">
        <f t="shared" si="1"/>
        <v>Dec-2025</v>
      </c>
    </row>
    <row r="1177" ht="15.75" customHeight="1">
      <c r="A1177" s="4" t="s">
        <v>1500</v>
      </c>
      <c r="B1177" s="5">
        <v>46017.0</v>
      </c>
      <c r="C1177" s="4" t="s">
        <v>32</v>
      </c>
      <c r="D1177" s="4" t="s">
        <v>19</v>
      </c>
      <c r="E1177" s="4" t="s">
        <v>20</v>
      </c>
      <c r="F1177" s="4" t="s">
        <v>325</v>
      </c>
      <c r="G1177" s="4">
        <v>6.0</v>
      </c>
      <c r="H1177" s="6">
        <v>4593.97</v>
      </c>
      <c r="I1177" s="6">
        <v>27563.82</v>
      </c>
      <c r="J1177" s="6">
        <v>22202.35</v>
      </c>
      <c r="K1177" s="6">
        <v>5361.47</v>
      </c>
      <c r="L1177" s="4" t="str">
        <f t="shared" si="1"/>
        <v>Dec-2025</v>
      </c>
    </row>
    <row r="1178" ht="15.75" customHeight="1">
      <c r="A1178" s="4" t="s">
        <v>1501</v>
      </c>
      <c r="B1178" s="5">
        <v>46017.0</v>
      </c>
      <c r="C1178" s="4" t="s">
        <v>28</v>
      </c>
      <c r="D1178" s="4" t="s">
        <v>14</v>
      </c>
      <c r="E1178" s="4" t="s">
        <v>25</v>
      </c>
      <c r="F1178" s="4" t="s">
        <v>956</v>
      </c>
      <c r="G1178" s="4">
        <v>3.0</v>
      </c>
      <c r="H1178" s="6">
        <v>734.71</v>
      </c>
      <c r="I1178" s="6">
        <v>2204.13</v>
      </c>
      <c r="J1178" s="6">
        <v>1588.44</v>
      </c>
      <c r="K1178" s="6">
        <v>615.69</v>
      </c>
      <c r="L1178" s="4" t="str">
        <f t="shared" si="1"/>
        <v>Dec-2025</v>
      </c>
    </row>
    <row r="1179" ht="15.75" customHeight="1">
      <c r="A1179" s="4" t="s">
        <v>1502</v>
      </c>
      <c r="B1179" s="5">
        <v>46017.0</v>
      </c>
      <c r="C1179" s="4" t="s">
        <v>109</v>
      </c>
      <c r="D1179" s="4" t="s">
        <v>42</v>
      </c>
      <c r="E1179" s="4" t="s">
        <v>29</v>
      </c>
      <c r="F1179" s="4" t="s">
        <v>256</v>
      </c>
      <c r="G1179" s="4">
        <v>1.0</v>
      </c>
      <c r="H1179" s="6">
        <v>4241.76</v>
      </c>
      <c r="I1179" s="6">
        <v>4241.76</v>
      </c>
      <c r="J1179" s="6">
        <v>3337.03</v>
      </c>
      <c r="K1179" s="6">
        <v>904.73</v>
      </c>
      <c r="L1179" s="4" t="str">
        <f t="shared" si="1"/>
        <v>Dec-2025</v>
      </c>
    </row>
    <row r="1180" ht="15.75" customHeight="1">
      <c r="A1180" s="4" t="s">
        <v>1503</v>
      </c>
      <c r="B1180" s="5">
        <v>46017.0</v>
      </c>
      <c r="C1180" s="4" t="s">
        <v>180</v>
      </c>
      <c r="D1180" s="4" t="s">
        <v>19</v>
      </c>
      <c r="E1180" s="4" t="s">
        <v>29</v>
      </c>
      <c r="F1180" s="4" t="s">
        <v>173</v>
      </c>
      <c r="G1180" s="4">
        <v>7.0</v>
      </c>
      <c r="H1180" s="6">
        <v>50820.47</v>
      </c>
      <c r="I1180" s="6">
        <v>355743.29</v>
      </c>
      <c r="J1180" s="6">
        <v>316188.69</v>
      </c>
      <c r="K1180" s="6">
        <v>39554.6</v>
      </c>
      <c r="L1180" s="4" t="str">
        <f t="shared" si="1"/>
        <v>Dec-2025</v>
      </c>
    </row>
    <row r="1181" ht="15.75" customHeight="1">
      <c r="A1181" s="4" t="s">
        <v>1504</v>
      </c>
      <c r="B1181" s="5">
        <v>46018.0</v>
      </c>
      <c r="C1181" s="4" t="s">
        <v>140</v>
      </c>
      <c r="D1181" s="4" t="s">
        <v>14</v>
      </c>
      <c r="E1181" s="4" t="s">
        <v>29</v>
      </c>
      <c r="F1181" s="4" t="s">
        <v>1030</v>
      </c>
      <c r="G1181" s="4">
        <v>6.0</v>
      </c>
      <c r="H1181" s="6">
        <v>531.85</v>
      </c>
      <c r="I1181" s="6">
        <v>3191.1</v>
      </c>
      <c r="J1181" s="6">
        <v>2332.59</v>
      </c>
      <c r="K1181" s="6">
        <v>858.51</v>
      </c>
      <c r="L1181" s="4" t="str">
        <f t="shared" si="1"/>
        <v>Dec-2025</v>
      </c>
    </row>
    <row r="1182" ht="15.75" customHeight="1">
      <c r="A1182" s="4" t="s">
        <v>1505</v>
      </c>
      <c r="B1182" s="5">
        <v>46018.0</v>
      </c>
      <c r="C1182" s="4" t="s">
        <v>109</v>
      </c>
      <c r="D1182" s="4" t="s">
        <v>42</v>
      </c>
      <c r="E1182" s="4" t="s">
        <v>20</v>
      </c>
      <c r="F1182" s="4" t="s">
        <v>223</v>
      </c>
      <c r="G1182" s="4">
        <v>4.0</v>
      </c>
      <c r="H1182" s="6">
        <v>964.58</v>
      </c>
      <c r="I1182" s="6">
        <v>3858.32</v>
      </c>
      <c r="J1182" s="6">
        <v>2897.6</v>
      </c>
      <c r="K1182" s="6">
        <v>960.72</v>
      </c>
      <c r="L1182" s="4" t="str">
        <f t="shared" si="1"/>
        <v>Dec-2025</v>
      </c>
    </row>
    <row r="1183" ht="15.75" customHeight="1">
      <c r="A1183" s="4" t="s">
        <v>1506</v>
      </c>
      <c r="B1183" s="5">
        <v>46018.0</v>
      </c>
      <c r="C1183" s="4" t="s">
        <v>92</v>
      </c>
      <c r="D1183" s="4" t="s">
        <v>14</v>
      </c>
      <c r="E1183" s="4" t="s">
        <v>29</v>
      </c>
      <c r="F1183" s="4" t="s">
        <v>304</v>
      </c>
      <c r="G1183" s="4">
        <v>4.0</v>
      </c>
      <c r="H1183" s="6">
        <v>287.3</v>
      </c>
      <c r="I1183" s="6">
        <v>1149.2</v>
      </c>
      <c r="J1183" s="6">
        <v>846.86</v>
      </c>
      <c r="K1183" s="6">
        <v>302.34</v>
      </c>
      <c r="L1183" s="4" t="str">
        <f t="shared" si="1"/>
        <v>Dec-2025</v>
      </c>
    </row>
    <row r="1184" ht="15.75" customHeight="1">
      <c r="A1184" s="4" t="s">
        <v>1507</v>
      </c>
      <c r="B1184" s="5">
        <v>46018.0</v>
      </c>
      <c r="C1184" s="4" t="s">
        <v>180</v>
      </c>
      <c r="D1184" s="4" t="s">
        <v>19</v>
      </c>
      <c r="E1184" s="4" t="s">
        <v>29</v>
      </c>
      <c r="F1184" s="4" t="s">
        <v>413</v>
      </c>
      <c r="G1184" s="4">
        <v>5.0</v>
      </c>
      <c r="H1184" s="6">
        <v>48840.56</v>
      </c>
      <c r="I1184" s="6">
        <v>244202.8</v>
      </c>
      <c r="J1184" s="6">
        <v>214658.94</v>
      </c>
      <c r="K1184" s="6">
        <v>29543.86</v>
      </c>
      <c r="L1184" s="4" t="str">
        <f t="shared" si="1"/>
        <v>Dec-2025</v>
      </c>
    </row>
    <row r="1185" ht="15.75" customHeight="1">
      <c r="A1185" s="4" t="s">
        <v>1508</v>
      </c>
      <c r="B1185" s="5">
        <v>46019.0</v>
      </c>
      <c r="C1185" s="4" t="s">
        <v>50</v>
      </c>
      <c r="D1185" s="4" t="s">
        <v>42</v>
      </c>
      <c r="E1185" s="4" t="s">
        <v>29</v>
      </c>
      <c r="F1185" s="4" t="s">
        <v>461</v>
      </c>
      <c r="G1185" s="4">
        <v>1.0</v>
      </c>
      <c r="H1185" s="6">
        <v>256.47</v>
      </c>
      <c r="I1185" s="6">
        <v>256.47</v>
      </c>
      <c r="J1185" s="6">
        <v>227.59</v>
      </c>
      <c r="K1185" s="6">
        <v>28.88</v>
      </c>
      <c r="L1185" s="4" t="str">
        <f t="shared" si="1"/>
        <v>Dec-2025</v>
      </c>
    </row>
    <row r="1186" ht="15.75" customHeight="1">
      <c r="A1186" s="4" t="s">
        <v>1509</v>
      </c>
      <c r="B1186" s="5">
        <v>46019.0</v>
      </c>
      <c r="C1186" s="4" t="s">
        <v>18</v>
      </c>
      <c r="D1186" s="4" t="s">
        <v>19</v>
      </c>
      <c r="E1186" s="4" t="s">
        <v>15</v>
      </c>
      <c r="F1186" s="4" t="s">
        <v>325</v>
      </c>
      <c r="G1186" s="4">
        <v>3.0</v>
      </c>
      <c r="H1186" s="6">
        <v>4596.48</v>
      </c>
      <c r="I1186" s="6">
        <v>13789.44</v>
      </c>
      <c r="J1186" s="6">
        <v>12300.97</v>
      </c>
      <c r="K1186" s="6">
        <v>1488.47</v>
      </c>
      <c r="L1186" s="4" t="str">
        <f t="shared" si="1"/>
        <v>Dec-2025</v>
      </c>
    </row>
    <row r="1187" ht="15.75" customHeight="1">
      <c r="A1187" s="4" t="s">
        <v>1510</v>
      </c>
      <c r="B1187" s="5">
        <v>46020.0</v>
      </c>
      <c r="C1187" s="4" t="s">
        <v>109</v>
      </c>
      <c r="D1187" s="4" t="s">
        <v>42</v>
      </c>
      <c r="E1187" s="4" t="s">
        <v>15</v>
      </c>
      <c r="F1187" s="4" t="s">
        <v>238</v>
      </c>
      <c r="G1187" s="4">
        <v>5.0</v>
      </c>
      <c r="H1187" s="6">
        <v>1001.87</v>
      </c>
      <c r="I1187" s="6">
        <v>5009.35</v>
      </c>
      <c r="J1187" s="6">
        <v>4291.86</v>
      </c>
      <c r="K1187" s="6">
        <v>717.49</v>
      </c>
      <c r="L1187" s="4" t="str">
        <f t="shared" si="1"/>
        <v>Dec-2025</v>
      </c>
    </row>
    <row r="1188" ht="15.75" customHeight="1">
      <c r="A1188" s="4" t="s">
        <v>1511</v>
      </c>
      <c r="B1188" s="5">
        <v>46020.0</v>
      </c>
      <c r="C1188" s="4" t="s">
        <v>155</v>
      </c>
      <c r="D1188" s="4" t="s">
        <v>24</v>
      </c>
      <c r="E1188" s="4" t="s">
        <v>25</v>
      </c>
      <c r="F1188" s="4" t="s">
        <v>371</v>
      </c>
      <c r="G1188" s="4">
        <v>6.0</v>
      </c>
      <c r="H1188" s="6">
        <v>16938.9</v>
      </c>
      <c r="I1188" s="6">
        <v>101633.4</v>
      </c>
      <c r="J1188" s="6">
        <v>85472.84</v>
      </c>
      <c r="K1188" s="6">
        <v>16160.56</v>
      </c>
      <c r="L1188" s="4" t="str">
        <f t="shared" si="1"/>
        <v>Dec-2025</v>
      </c>
    </row>
    <row r="1189" ht="15.75" customHeight="1">
      <c r="A1189" s="4" t="s">
        <v>1512</v>
      </c>
      <c r="B1189" s="5">
        <v>46020.0</v>
      </c>
      <c r="C1189" s="4" t="s">
        <v>72</v>
      </c>
      <c r="D1189" s="4" t="s">
        <v>24</v>
      </c>
      <c r="E1189" s="4" t="s">
        <v>29</v>
      </c>
      <c r="F1189" s="4" t="s">
        <v>147</v>
      </c>
      <c r="G1189" s="4">
        <v>4.0</v>
      </c>
      <c r="H1189" s="6">
        <v>16902.66</v>
      </c>
      <c r="I1189" s="6">
        <v>67610.64</v>
      </c>
      <c r="J1189" s="6">
        <v>50090.93</v>
      </c>
      <c r="K1189" s="6">
        <v>17519.71</v>
      </c>
      <c r="L1189" s="4" t="str">
        <f t="shared" si="1"/>
        <v>Dec-2025</v>
      </c>
    </row>
    <row r="1190" ht="15.75" customHeight="1">
      <c r="A1190" s="4" t="s">
        <v>1513</v>
      </c>
      <c r="B1190" s="5">
        <v>46021.0</v>
      </c>
      <c r="C1190" s="4" t="s">
        <v>69</v>
      </c>
      <c r="D1190" s="4" t="s">
        <v>19</v>
      </c>
      <c r="E1190" s="4" t="s">
        <v>15</v>
      </c>
      <c r="F1190" s="4" t="s">
        <v>518</v>
      </c>
      <c r="G1190" s="4">
        <v>2.0</v>
      </c>
      <c r="H1190" s="6">
        <v>59707.06</v>
      </c>
      <c r="I1190" s="6">
        <v>119414.12</v>
      </c>
      <c r="J1190" s="6">
        <v>97330.9</v>
      </c>
      <c r="K1190" s="6">
        <v>22083.22</v>
      </c>
      <c r="L1190" s="4" t="str">
        <f t="shared" si="1"/>
        <v>Dec-2025</v>
      </c>
    </row>
    <row r="1191" ht="15.75" customHeight="1">
      <c r="A1191" s="4" t="s">
        <v>1514</v>
      </c>
      <c r="B1191" s="5">
        <v>46021.0</v>
      </c>
      <c r="C1191" s="4" t="s">
        <v>160</v>
      </c>
      <c r="D1191" s="4" t="s">
        <v>42</v>
      </c>
      <c r="E1191" s="4" t="s">
        <v>25</v>
      </c>
      <c r="F1191" s="4" t="s">
        <v>215</v>
      </c>
      <c r="G1191" s="4">
        <v>7.0</v>
      </c>
      <c r="H1191" s="6">
        <v>393.24</v>
      </c>
      <c r="I1191" s="6">
        <v>2752.68</v>
      </c>
      <c r="J1191" s="6">
        <v>2252.71</v>
      </c>
      <c r="K1191" s="6">
        <v>499.97</v>
      </c>
      <c r="L1191" s="4" t="str">
        <f t="shared" si="1"/>
        <v>Dec-2025</v>
      </c>
    </row>
    <row r="1192" ht="15.75" customHeight="1">
      <c r="A1192" s="4" t="s">
        <v>1515</v>
      </c>
      <c r="B1192" s="5">
        <v>46021.0</v>
      </c>
      <c r="C1192" s="4" t="s">
        <v>32</v>
      </c>
      <c r="D1192" s="4" t="s">
        <v>19</v>
      </c>
      <c r="E1192" s="4" t="s">
        <v>25</v>
      </c>
      <c r="F1192" s="4" t="s">
        <v>84</v>
      </c>
      <c r="G1192" s="4">
        <v>5.0</v>
      </c>
      <c r="H1192" s="6">
        <v>19670.69</v>
      </c>
      <c r="I1192" s="6">
        <v>98353.45</v>
      </c>
      <c r="J1192" s="6">
        <v>80815.99</v>
      </c>
      <c r="K1192" s="6">
        <v>17537.46</v>
      </c>
      <c r="L1192" s="4" t="str">
        <f t="shared" si="1"/>
        <v>Dec-2025</v>
      </c>
    </row>
    <row r="1193" ht="15.75" customHeight="1">
      <c r="A1193" s="4" t="s">
        <v>1516</v>
      </c>
      <c r="B1193" s="5">
        <v>46021.0</v>
      </c>
      <c r="C1193" s="4" t="s">
        <v>41</v>
      </c>
      <c r="D1193" s="4" t="s">
        <v>42</v>
      </c>
      <c r="E1193" s="4" t="s">
        <v>20</v>
      </c>
      <c r="F1193" s="4" t="s">
        <v>84</v>
      </c>
      <c r="G1193" s="4">
        <v>7.0</v>
      </c>
      <c r="H1193" s="6">
        <v>3264.08</v>
      </c>
      <c r="I1193" s="6">
        <v>22848.56</v>
      </c>
      <c r="J1193" s="6">
        <v>18737.49</v>
      </c>
      <c r="K1193" s="6">
        <v>4111.07</v>
      </c>
      <c r="L1193" s="4" t="str">
        <f t="shared" si="1"/>
        <v>Dec-2025</v>
      </c>
    </row>
    <row r="1194" ht="15.75" customHeight="1">
      <c r="A1194" s="4" t="s">
        <v>1517</v>
      </c>
      <c r="B1194" s="5">
        <v>46021.0</v>
      </c>
      <c r="C1194" s="4" t="s">
        <v>50</v>
      </c>
      <c r="D1194" s="4" t="s">
        <v>42</v>
      </c>
      <c r="E1194" s="4" t="s">
        <v>29</v>
      </c>
      <c r="F1194" s="4" t="s">
        <v>325</v>
      </c>
      <c r="G1194" s="4">
        <v>3.0</v>
      </c>
      <c r="H1194" s="6">
        <v>2360.59</v>
      </c>
      <c r="I1194" s="6">
        <v>7081.77</v>
      </c>
      <c r="J1194" s="6">
        <v>5428.55</v>
      </c>
      <c r="K1194" s="6">
        <v>1653.22</v>
      </c>
      <c r="L1194" s="4" t="str">
        <f t="shared" si="1"/>
        <v>Dec-2025</v>
      </c>
    </row>
    <row r="1195" ht="15.75" customHeight="1">
      <c r="A1195" s="4" t="s">
        <v>1518</v>
      </c>
      <c r="B1195" s="5">
        <v>46022.0</v>
      </c>
      <c r="C1195" s="4" t="s">
        <v>102</v>
      </c>
      <c r="D1195" s="4" t="s">
        <v>24</v>
      </c>
      <c r="E1195" s="4" t="s">
        <v>25</v>
      </c>
      <c r="F1195" s="4" t="s">
        <v>274</v>
      </c>
      <c r="G1195" s="4">
        <v>7.0</v>
      </c>
      <c r="H1195" s="6">
        <v>2590.27</v>
      </c>
      <c r="I1195" s="6">
        <v>18131.89</v>
      </c>
      <c r="J1195" s="6">
        <v>14682.04</v>
      </c>
      <c r="K1195" s="6">
        <v>3449.85</v>
      </c>
      <c r="L1195" s="4" t="str">
        <f t="shared" si="1"/>
        <v>Dec-2025</v>
      </c>
    </row>
    <row r="1196" ht="15.75" customHeight="1">
      <c r="A1196" s="4" t="s">
        <v>1519</v>
      </c>
      <c r="B1196" s="5">
        <v>46022.0</v>
      </c>
      <c r="C1196" s="4" t="s">
        <v>35</v>
      </c>
      <c r="D1196" s="4" t="s">
        <v>14</v>
      </c>
      <c r="E1196" s="4" t="s">
        <v>25</v>
      </c>
      <c r="F1196" s="4" t="s">
        <v>184</v>
      </c>
      <c r="G1196" s="4">
        <v>7.0</v>
      </c>
      <c r="H1196" s="6">
        <v>108.51</v>
      </c>
      <c r="I1196" s="6">
        <v>759.57</v>
      </c>
      <c r="J1196" s="6">
        <v>642.74</v>
      </c>
      <c r="K1196" s="6">
        <v>116.83</v>
      </c>
      <c r="L1196" s="4" t="str">
        <f t="shared" si="1"/>
        <v>Dec-2025</v>
      </c>
    </row>
    <row r="1197" ht="15.75" customHeight="1">
      <c r="A1197" s="4" t="s">
        <v>1520</v>
      </c>
      <c r="B1197" s="5">
        <v>46022.0</v>
      </c>
      <c r="C1197" s="4" t="s">
        <v>92</v>
      </c>
      <c r="D1197" s="4" t="s">
        <v>14</v>
      </c>
      <c r="E1197" s="4" t="s">
        <v>29</v>
      </c>
      <c r="F1197" s="4" t="s">
        <v>559</v>
      </c>
      <c r="G1197" s="4">
        <v>6.0</v>
      </c>
      <c r="H1197" s="6">
        <v>839.51</v>
      </c>
      <c r="I1197" s="6">
        <v>5037.06</v>
      </c>
      <c r="J1197" s="6">
        <v>3967.7</v>
      </c>
      <c r="K1197" s="6">
        <v>1069.36</v>
      </c>
      <c r="L1197" s="4" t="str">
        <f t="shared" si="1"/>
        <v>Dec-2025</v>
      </c>
    </row>
    <row r="1198" ht="15.75" customHeight="1">
      <c r="A1198" s="4" t="s">
        <v>1521</v>
      </c>
      <c r="B1198" s="5">
        <v>46022.0</v>
      </c>
      <c r="C1198" s="4" t="s">
        <v>38</v>
      </c>
      <c r="D1198" s="4" t="s">
        <v>19</v>
      </c>
      <c r="E1198" s="4" t="s">
        <v>29</v>
      </c>
      <c r="F1198" s="4" t="s">
        <v>325</v>
      </c>
      <c r="G1198" s="4">
        <v>2.0</v>
      </c>
      <c r="H1198" s="6">
        <v>13328.98</v>
      </c>
      <c r="I1198" s="6">
        <v>26657.96</v>
      </c>
      <c r="J1198" s="6">
        <v>22903.29</v>
      </c>
      <c r="K1198" s="6">
        <v>3754.67</v>
      </c>
      <c r="L1198" s="4" t="str">
        <f t="shared" si="1"/>
        <v>Dec-2025</v>
      </c>
    </row>
    <row r="1199" ht="15.75" customHeight="1">
      <c r="A1199" s="4" t="s">
        <v>1522</v>
      </c>
      <c r="B1199" s="5">
        <v>46022.0</v>
      </c>
      <c r="C1199" s="4" t="s">
        <v>32</v>
      </c>
      <c r="D1199" s="4" t="s">
        <v>19</v>
      </c>
      <c r="E1199" s="4" t="s">
        <v>20</v>
      </c>
      <c r="F1199" s="4" t="s">
        <v>321</v>
      </c>
      <c r="G1199" s="4">
        <v>6.0</v>
      </c>
      <c r="H1199" s="6">
        <v>71126.47</v>
      </c>
      <c r="I1199" s="6">
        <v>426758.82</v>
      </c>
      <c r="J1199" s="6">
        <v>372308.29</v>
      </c>
      <c r="K1199" s="6">
        <v>54450.53</v>
      </c>
      <c r="L1199" s="4" t="str">
        <f t="shared" si="1"/>
        <v>Dec-2025</v>
      </c>
    </row>
    <row r="1200" ht="15.75" customHeight="1">
      <c r="A1200" s="4" t="s">
        <v>1523</v>
      </c>
      <c r="B1200" s="5">
        <v>46022.0</v>
      </c>
      <c r="C1200" s="4" t="s">
        <v>92</v>
      </c>
      <c r="D1200" s="4" t="s">
        <v>14</v>
      </c>
      <c r="E1200" s="4" t="s">
        <v>15</v>
      </c>
      <c r="F1200" s="4" t="s">
        <v>566</v>
      </c>
      <c r="G1200" s="4">
        <v>2.0</v>
      </c>
      <c r="H1200" s="6">
        <v>902.98</v>
      </c>
      <c r="I1200" s="6">
        <v>1805.96</v>
      </c>
      <c r="J1200" s="6">
        <v>1389.78</v>
      </c>
      <c r="K1200" s="6">
        <v>416.18</v>
      </c>
      <c r="L1200" s="4" t="str">
        <f t="shared" si="1"/>
        <v>Dec-2025</v>
      </c>
    </row>
    <row r="1201" ht="15.75" customHeight="1">
      <c r="A1201" s="4" t="s">
        <v>1524</v>
      </c>
      <c r="B1201" s="5">
        <v>46022.0</v>
      </c>
      <c r="C1201" s="4" t="s">
        <v>47</v>
      </c>
      <c r="D1201" s="4" t="s">
        <v>14</v>
      </c>
      <c r="E1201" s="4" t="s">
        <v>29</v>
      </c>
      <c r="F1201" s="4" t="s">
        <v>373</v>
      </c>
      <c r="G1201" s="4">
        <v>5.0</v>
      </c>
      <c r="H1201" s="6">
        <v>789.72</v>
      </c>
      <c r="I1201" s="6">
        <v>3948.6</v>
      </c>
      <c r="J1201" s="6">
        <v>2772.58</v>
      </c>
      <c r="K1201" s="6">
        <v>1176.02</v>
      </c>
      <c r="L1201" s="4" t="str">
        <f t="shared" si="1"/>
        <v>Dec-2025</v>
      </c>
    </row>
    <row r="1202" ht="15.75" customHeight="1"/>
    <row r="1203" ht="15.75" customHeight="1"/>
    <row r="1204" ht="15.75" customHeight="1"/>
  </sheetData>
  <autoFilter ref="$A$1:$K$120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1.0"/>
    <col customWidth="1" min="3" max="3" width="16.0"/>
    <col customWidth="1" min="4" max="4" width="17.0"/>
    <col customWidth="1" min="5" max="5" width="12.0"/>
    <col customWidth="1" min="6" max="6" width="14.0"/>
    <col customWidth="1" min="7" max="11" width="12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>
      <c r="A2" s="4" t="s">
        <v>12</v>
      </c>
      <c r="B2" s="5">
        <v>45658.0</v>
      </c>
      <c r="C2" s="4" t="s">
        <v>13</v>
      </c>
      <c r="D2" s="4" t="s">
        <v>14</v>
      </c>
      <c r="E2" s="4" t="s">
        <v>15</v>
      </c>
      <c r="F2" s="4" t="s">
        <v>16</v>
      </c>
      <c r="G2" s="4">
        <v>4.0</v>
      </c>
      <c r="H2" s="6">
        <v>971.69</v>
      </c>
      <c r="I2" s="6">
        <v>3886.76</v>
      </c>
      <c r="J2" s="6">
        <v>2909.63</v>
      </c>
      <c r="K2" s="6">
        <v>977.13</v>
      </c>
      <c r="L2" s="4" t="str">
        <f t="shared" ref="L2:L1201" si="1">TEXT(B2,"mmm-yyyy")</f>
        <v>Jan-2025</v>
      </c>
    </row>
    <row r="3">
      <c r="A3" s="4" t="s">
        <v>17</v>
      </c>
      <c r="B3" s="5">
        <v>45658.0</v>
      </c>
      <c r="C3" s="4" t="s">
        <v>18</v>
      </c>
      <c r="D3" s="4" t="s">
        <v>19</v>
      </c>
      <c r="E3" s="4" t="s">
        <v>20</v>
      </c>
      <c r="F3" s="4" t="s">
        <v>21</v>
      </c>
      <c r="G3" s="4">
        <v>2.0</v>
      </c>
      <c r="H3" s="6">
        <v>9573.29</v>
      </c>
      <c r="I3" s="6">
        <v>19146.58</v>
      </c>
      <c r="J3" s="6">
        <v>15423.08</v>
      </c>
      <c r="K3" s="6">
        <v>3723.5</v>
      </c>
      <c r="L3" s="4" t="str">
        <f t="shared" si="1"/>
        <v>Jan-2025</v>
      </c>
    </row>
    <row r="4">
      <c r="A4" s="4" t="s">
        <v>22</v>
      </c>
      <c r="B4" s="5">
        <v>45658.0</v>
      </c>
      <c r="C4" s="4" t="s">
        <v>23</v>
      </c>
      <c r="D4" s="4" t="s">
        <v>24</v>
      </c>
      <c r="E4" s="4" t="s">
        <v>25</v>
      </c>
      <c r="F4" s="4" t="s">
        <v>26</v>
      </c>
      <c r="G4" s="4">
        <v>3.0</v>
      </c>
      <c r="H4" s="6">
        <v>16197.32</v>
      </c>
      <c r="I4" s="6">
        <v>48591.96</v>
      </c>
      <c r="J4" s="6">
        <v>40637.79</v>
      </c>
      <c r="K4" s="6">
        <v>7954.17</v>
      </c>
      <c r="L4" s="4" t="str">
        <f t="shared" si="1"/>
        <v>Jan-2025</v>
      </c>
    </row>
    <row r="5">
      <c r="A5" s="4" t="s">
        <v>27</v>
      </c>
      <c r="B5" s="5">
        <v>45658.0</v>
      </c>
      <c r="C5" s="4" t="s">
        <v>28</v>
      </c>
      <c r="D5" s="4" t="s">
        <v>14</v>
      </c>
      <c r="E5" s="4" t="s">
        <v>29</v>
      </c>
      <c r="F5" s="4" t="s">
        <v>30</v>
      </c>
      <c r="G5" s="4">
        <v>5.0</v>
      </c>
      <c r="H5" s="6">
        <v>651.37</v>
      </c>
      <c r="I5" s="6">
        <v>3256.85</v>
      </c>
      <c r="J5" s="6">
        <v>2657.58</v>
      </c>
      <c r="K5" s="6">
        <v>599.27</v>
      </c>
      <c r="L5" s="4" t="str">
        <f t="shared" si="1"/>
        <v>Jan-2025</v>
      </c>
    </row>
    <row r="6">
      <c r="A6" s="4" t="s">
        <v>31</v>
      </c>
      <c r="B6" s="5">
        <v>45659.0</v>
      </c>
      <c r="C6" s="4" t="s">
        <v>32</v>
      </c>
      <c r="D6" s="4" t="s">
        <v>19</v>
      </c>
      <c r="E6" s="4" t="s">
        <v>29</v>
      </c>
      <c r="F6" s="4" t="s">
        <v>33</v>
      </c>
      <c r="G6" s="4">
        <v>1.0</v>
      </c>
      <c r="H6" s="6">
        <v>32729.48</v>
      </c>
      <c r="I6" s="6">
        <v>32729.48</v>
      </c>
      <c r="J6" s="6">
        <v>29032.21</v>
      </c>
      <c r="K6" s="6">
        <v>3697.27</v>
      </c>
      <c r="L6" s="4" t="str">
        <f t="shared" si="1"/>
        <v>Jan-2025</v>
      </c>
    </row>
    <row r="7">
      <c r="A7" s="4" t="s">
        <v>34</v>
      </c>
      <c r="B7" s="5">
        <v>45659.0</v>
      </c>
      <c r="C7" s="4" t="s">
        <v>35</v>
      </c>
      <c r="D7" s="4" t="s">
        <v>14</v>
      </c>
      <c r="E7" s="4" t="s">
        <v>29</v>
      </c>
      <c r="F7" s="4" t="s">
        <v>36</v>
      </c>
      <c r="G7" s="4">
        <v>5.0</v>
      </c>
      <c r="H7" s="6">
        <v>545.64</v>
      </c>
      <c r="I7" s="6">
        <v>2728.2</v>
      </c>
      <c r="J7" s="6">
        <v>2045.19</v>
      </c>
      <c r="K7" s="6">
        <v>683.01</v>
      </c>
      <c r="L7" s="4" t="str">
        <f t="shared" si="1"/>
        <v>Jan-2025</v>
      </c>
    </row>
    <row r="8">
      <c r="A8" s="4" t="s">
        <v>37</v>
      </c>
      <c r="B8" s="5">
        <v>45659.0</v>
      </c>
      <c r="C8" s="4" t="s">
        <v>38</v>
      </c>
      <c r="D8" s="4" t="s">
        <v>19</v>
      </c>
      <c r="E8" s="4" t="s">
        <v>20</v>
      </c>
      <c r="F8" s="4" t="s">
        <v>39</v>
      </c>
      <c r="G8" s="4">
        <v>5.0</v>
      </c>
      <c r="H8" s="6">
        <v>33982.32</v>
      </c>
      <c r="I8" s="6">
        <v>169911.6</v>
      </c>
      <c r="J8" s="6">
        <v>139399.12</v>
      </c>
      <c r="K8" s="6">
        <v>30512.48</v>
      </c>
      <c r="L8" s="4" t="str">
        <f t="shared" si="1"/>
        <v>Jan-2025</v>
      </c>
    </row>
    <row r="9">
      <c r="A9" s="4" t="s">
        <v>40</v>
      </c>
      <c r="B9" s="5">
        <v>45659.0</v>
      </c>
      <c r="C9" s="4" t="s">
        <v>41</v>
      </c>
      <c r="D9" s="4" t="s">
        <v>42</v>
      </c>
      <c r="E9" s="4" t="s">
        <v>29</v>
      </c>
      <c r="F9" s="4" t="s">
        <v>43</v>
      </c>
      <c r="G9" s="4">
        <v>6.0</v>
      </c>
      <c r="H9" s="6">
        <v>3931.02</v>
      </c>
      <c r="I9" s="6">
        <v>23586.12</v>
      </c>
      <c r="J9" s="6">
        <v>19865.23</v>
      </c>
      <c r="K9" s="6">
        <v>3720.89</v>
      </c>
      <c r="L9" s="4" t="str">
        <f t="shared" si="1"/>
        <v>Jan-2025</v>
      </c>
    </row>
    <row r="10">
      <c r="A10" s="4" t="s">
        <v>44</v>
      </c>
      <c r="B10" s="5">
        <v>45660.0</v>
      </c>
      <c r="C10" s="4" t="s">
        <v>38</v>
      </c>
      <c r="D10" s="4" t="s">
        <v>19</v>
      </c>
      <c r="E10" s="4" t="s">
        <v>29</v>
      </c>
      <c r="F10" s="4" t="s">
        <v>45</v>
      </c>
      <c r="G10" s="4">
        <v>7.0</v>
      </c>
      <c r="H10" s="6">
        <v>34493.97</v>
      </c>
      <c r="I10" s="6">
        <v>241457.79</v>
      </c>
      <c r="J10" s="6">
        <v>200859.45</v>
      </c>
      <c r="K10" s="6">
        <v>40598.34</v>
      </c>
      <c r="L10" s="4" t="str">
        <f t="shared" si="1"/>
        <v>Jan-2025</v>
      </c>
    </row>
    <row r="11">
      <c r="A11" s="4" t="s">
        <v>46</v>
      </c>
      <c r="B11" s="5">
        <v>45661.0</v>
      </c>
      <c r="C11" s="4" t="s">
        <v>47</v>
      </c>
      <c r="D11" s="4" t="s">
        <v>14</v>
      </c>
      <c r="E11" s="4" t="s">
        <v>25</v>
      </c>
      <c r="F11" s="4" t="s">
        <v>48</v>
      </c>
      <c r="G11" s="4">
        <v>3.0</v>
      </c>
      <c r="H11" s="6">
        <v>1046.04</v>
      </c>
      <c r="I11" s="6">
        <v>3138.12</v>
      </c>
      <c r="J11" s="6">
        <v>2506.87</v>
      </c>
      <c r="K11" s="6">
        <v>631.25</v>
      </c>
      <c r="L11" s="4" t="str">
        <f t="shared" si="1"/>
        <v>Jan-2025</v>
      </c>
    </row>
    <row r="12">
      <c r="A12" s="4" t="s">
        <v>49</v>
      </c>
      <c r="B12" s="5">
        <v>45661.0</v>
      </c>
      <c r="C12" s="4" t="s">
        <v>50</v>
      </c>
      <c r="D12" s="4" t="s">
        <v>42</v>
      </c>
      <c r="E12" s="4" t="s">
        <v>29</v>
      </c>
      <c r="F12" s="4" t="s">
        <v>51</v>
      </c>
      <c r="G12" s="4">
        <v>2.0</v>
      </c>
      <c r="H12" s="6">
        <v>3207.13</v>
      </c>
      <c r="I12" s="6">
        <v>6414.26</v>
      </c>
      <c r="J12" s="6">
        <v>5220.9</v>
      </c>
      <c r="K12" s="6">
        <v>1193.36</v>
      </c>
      <c r="L12" s="4" t="str">
        <f t="shared" si="1"/>
        <v>Jan-2025</v>
      </c>
    </row>
    <row r="13">
      <c r="A13" s="4" t="s">
        <v>52</v>
      </c>
      <c r="B13" s="5">
        <v>45661.0</v>
      </c>
      <c r="C13" s="4" t="s">
        <v>35</v>
      </c>
      <c r="D13" s="4" t="s">
        <v>14</v>
      </c>
      <c r="E13" s="4" t="s">
        <v>20</v>
      </c>
      <c r="F13" s="4" t="s">
        <v>53</v>
      </c>
      <c r="G13" s="4">
        <v>1.0</v>
      </c>
      <c r="H13" s="6">
        <v>721.78</v>
      </c>
      <c r="I13" s="6">
        <v>721.78</v>
      </c>
      <c r="J13" s="6">
        <v>499.28</v>
      </c>
      <c r="K13" s="6">
        <v>222.5</v>
      </c>
      <c r="L13" s="4" t="str">
        <f t="shared" si="1"/>
        <v>Jan-2025</v>
      </c>
    </row>
    <row r="14">
      <c r="A14" s="4" t="s">
        <v>54</v>
      </c>
      <c r="B14" s="5">
        <v>45661.0</v>
      </c>
      <c r="C14" s="4" t="s">
        <v>32</v>
      </c>
      <c r="D14" s="4" t="s">
        <v>19</v>
      </c>
      <c r="E14" s="4" t="s">
        <v>25</v>
      </c>
      <c r="F14" s="4" t="s">
        <v>55</v>
      </c>
      <c r="G14" s="4">
        <v>6.0</v>
      </c>
      <c r="H14" s="6">
        <v>4810.33</v>
      </c>
      <c r="I14" s="6">
        <v>28861.98</v>
      </c>
      <c r="J14" s="6">
        <v>24969.43</v>
      </c>
      <c r="K14" s="6">
        <v>3892.55</v>
      </c>
      <c r="L14" s="4" t="str">
        <f t="shared" si="1"/>
        <v>Jan-2025</v>
      </c>
    </row>
    <row r="15">
      <c r="A15" s="4" t="s">
        <v>56</v>
      </c>
      <c r="B15" s="5">
        <v>45661.0</v>
      </c>
      <c r="C15" s="4" t="s">
        <v>13</v>
      </c>
      <c r="D15" s="4" t="s">
        <v>14</v>
      </c>
      <c r="E15" s="4" t="s">
        <v>20</v>
      </c>
      <c r="F15" s="4" t="s">
        <v>57</v>
      </c>
      <c r="G15" s="4">
        <v>2.0</v>
      </c>
      <c r="H15" s="6">
        <v>122.22</v>
      </c>
      <c r="I15" s="6">
        <v>244.44</v>
      </c>
      <c r="J15" s="6">
        <v>192.45</v>
      </c>
      <c r="K15" s="6">
        <v>51.99</v>
      </c>
      <c r="L15" s="4" t="str">
        <f t="shared" si="1"/>
        <v>Jan-2025</v>
      </c>
    </row>
    <row r="16">
      <c r="A16" s="4" t="s">
        <v>58</v>
      </c>
      <c r="B16" s="5">
        <v>45661.0</v>
      </c>
      <c r="C16" s="4" t="s">
        <v>13</v>
      </c>
      <c r="D16" s="4" t="s">
        <v>14</v>
      </c>
      <c r="E16" s="4" t="s">
        <v>29</v>
      </c>
      <c r="F16" s="4" t="s">
        <v>59</v>
      </c>
      <c r="G16" s="4">
        <v>1.0</v>
      </c>
      <c r="H16" s="6">
        <v>1119.89</v>
      </c>
      <c r="I16" s="6">
        <v>1119.89</v>
      </c>
      <c r="J16" s="6">
        <v>785.01</v>
      </c>
      <c r="K16" s="6">
        <v>334.88</v>
      </c>
      <c r="L16" s="4" t="str">
        <f t="shared" si="1"/>
        <v>Jan-2025</v>
      </c>
    </row>
    <row r="17">
      <c r="A17" s="4" t="s">
        <v>60</v>
      </c>
      <c r="B17" s="5">
        <v>45661.0</v>
      </c>
      <c r="C17" s="4" t="s">
        <v>61</v>
      </c>
      <c r="D17" s="4" t="s">
        <v>19</v>
      </c>
      <c r="E17" s="4" t="s">
        <v>15</v>
      </c>
      <c r="F17" s="4" t="s">
        <v>62</v>
      </c>
      <c r="G17" s="4">
        <v>5.0</v>
      </c>
      <c r="H17" s="6">
        <v>54371.15</v>
      </c>
      <c r="I17" s="6">
        <v>271855.75</v>
      </c>
      <c r="J17" s="6">
        <v>221990.6</v>
      </c>
      <c r="K17" s="6">
        <v>49865.15</v>
      </c>
      <c r="L17" s="4" t="str">
        <f t="shared" si="1"/>
        <v>Jan-2025</v>
      </c>
    </row>
    <row r="18">
      <c r="A18" s="4" t="s">
        <v>63</v>
      </c>
      <c r="B18" s="5">
        <v>45662.0</v>
      </c>
      <c r="C18" s="4" t="s">
        <v>32</v>
      </c>
      <c r="D18" s="4" t="s">
        <v>19</v>
      </c>
      <c r="E18" s="4" t="s">
        <v>20</v>
      </c>
      <c r="F18" s="4" t="s">
        <v>64</v>
      </c>
      <c r="G18" s="4">
        <v>2.0</v>
      </c>
      <c r="H18" s="6">
        <v>24865.2</v>
      </c>
      <c r="I18" s="6">
        <v>49730.4</v>
      </c>
      <c r="J18" s="6">
        <v>40069.91</v>
      </c>
      <c r="K18" s="6">
        <v>9660.49</v>
      </c>
      <c r="L18" s="4" t="str">
        <f t="shared" si="1"/>
        <v>Jan-2025</v>
      </c>
    </row>
    <row r="19">
      <c r="A19" s="4" t="s">
        <v>65</v>
      </c>
      <c r="B19" s="5">
        <v>45662.0</v>
      </c>
      <c r="C19" s="4" t="s">
        <v>66</v>
      </c>
      <c r="D19" s="4" t="s">
        <v>42</v>
      </c>
      <c r="E19" s="4" t="s">
        <v>25</v>
      </c>
      <c r="F19" s="4" t="s">
        <v>67</v>
      </c>
      <c r="G19" s="4">
        <v>3.0</v>
      </c>
      <c r="H19" s="6">
        <v>556.79</v>
      </c>
      <c r="I19" s="6">
        <v>1670.37</v>
      </c>
      <c r="J19" s="6">
        <v>1276.68</v>
      </c>
      <c r="K19" s="6">
        <v>393.69</v>
      </c>
      <c r="L19" s="4" t="str">
        <f t="shared" si="1"/>
        <v>Jan-2025</v>
      </c>
    </row>
    <row r="20">
      <c r="A20" s="4" t="s">
        <v>68</v>
      </c>
      <c r="B20" s="5">
        <v>45663.0</v>
      </c>
      <c r="C20" s="4" t="s">
        <v>69</v>
      </c>
      <c r="D20" s="4" t="s">
        <v>19</v>
      </c>
      <c r="E20" s="4" t="s">
        <v>25</v>
      </c>
      <c r="F20" s="4" t="s">
        <v>70</v>
      </c>
      <c r="G20" s="4">
        <v>4.0</v>
      </c>
      <c r="H20" s="6">
        <v>67407.46</v>
      </c>
      <c r="I20" s="6">
        <v>269629.84</v>
      </c>
      <c r="J20" s="6">
        <v>226240.5</v>
      </c>
      <c r="K20" s="6">
        <v>43389.34</v>
      </c>
      <c r="L20" s="4" t="str">
        <f t="shared" si="1"/>
        <v>Jan-2025</v>
      </c>
    </row>
    <row r="21" ht="15.75" customHeight="1">
      <c r="A21" s="4" t="s">
        <v>71</v>
      </c>
      <c r="B21" s="5">
        <v>45664.0</v>
      </c>
      <c r="C21" s="4" t="s">
        <v>72</v>
      </c>
      <c r="D21" s="4" t="s">
        <v>24</v>
      </c>
      <c r="E21" s="4" t="s">
        <v>25</v>
      </c>
      <c r="F21" s="4" t="s">
        <v>73</v>
      </c>
      <c r="G21" s="4">
        <v>6.0</v>
      </c>
      <c r="H21" s="6">
        <v>10572.24</v>
      </c>
      <c r="I21" s="6">
        <v>63433.44</v>
      </c>
      <c r="J21" s="6">
        <v>49092.33</v>
      </c>
      <c r="K21" s="6">
        <v>14341.11</v>
      </c>
      <c r="L21" s="4" t="str">
        <f t="shared" si="1"/>
        <v>Jan-2025</v>
      </c>
    </row>
    <row r="22" ht="15.75" customHeight="1">
      <c r="A22" s="4" t="s">
        <v>74</v>
      </c>
      <c r="B22" s="5">
        <v>45664.0</v>
      </c>
      <c r="C22" s="4" t="s">
        <v>75</v>
      </c>
      <c r="D22" s="4" t="s">
        <v>24</v>
      </c>
      <c r="E22" s="4" t="s">
        <v>15</v>
      </c>
      <c r="F22" s="4" t="s">
        <v>76</v>
      </c>
      <c r="G22" s="4">
        <v>2.0</v>
      </c>
      <c r="H22" s="6">
        <v>4119.16</v>
      </c>
      <c r="I22" s="6">
        <v>8238.32</v>
      </c>
      <c r="J22" s="6">
        <v>6903.75</v>
      </c>
      <c r="K22" s="6">
        <v>1334.57</v>
      </c>
      <c r="L22" s="4" t="str">
        <f t="shared" si="1"/>
        <v>Jan-2025</v>
      </c>
    </row>
    <row r="23" ht="15.75" customHeight="1">
      <c r="A23" s="4" t="s">
        <v>77</v>
      </c>
      <c r="B23" s="5">
        <v>45664.0</v>
      </c>
      <c r="C23" s="4" t="s">
        <v>13</v>
      </c>
      <c r="D23" s="4" t="s">
        <v>14</v>
      </c>
      <c r="E23" s="4" t="s">
        <v>25</v>
      </c>
      <c r="F23" s="4" t="s">
        <v>78</v>
      </c>
      <c r="G23" s="4">
        <v>5.0</v>
      </c>
      <c r="H23" s="6">
        <v>853.44</v>
      </c>
      <c r="I23" s="6">
        <v>4267.2</v>
      </c>
      <c r="J23" s="6">
        <v>3015.48</v>
      </c>
      <c r="K23" s="6">
        <v>1251.72</v>
      </c>
      <c r="L23" s="4" t="str">
        <f t="shared" si="1"/>
        <v>Jan-2025</v>
      </c>
    </row>
    <row r="24" ht="15.75" customHeight="1">
      <c r="A24" s="4" t="s">
        <v>79</v>
      </c>
      <c r="B24" s="5">
        <v>45665.0</v>
      </c>
      <c r="C24" s="4" t="s">
        <v>61</v>
      </c>
      <c r="D24" s="4" t="s">
        <v>19</v>
      </c>
      <c r="E24" s="4" t="s">
        <v>15</v>
      </c>
      <c r="F24" s="4" t="s">
        <v>80</v>
      </c>
      <c r="G24" s="4">
        <v>7.0</v>
      </c>
      <c r="H24" s="6">
        <v>17946.2</v>
      </c>
      <c r="I24" s="6">
        <v>125623.4</v>
      </c>
      <c r="J24" s="6">
        <v>102045.61</v>
      </c>
      <c r="K24" s="6">
        <v>23577.79</v>
      </c>
      <c r="L24" s="4" t="str">
        <f t="shared" si="1"/>
        <v>Jan-2025</v>
      </c>
    </row>
    <row r="25" ht="15.75" customHeight="1">
      <c r="A25" s="4" t="s">
        <v>81</v>
      </c>
      <c r="B25" s="5">
        <v>45665.0</v>
      </c>
      <c r="C25" s="4" t="s">
        <v>38</v>
      </c>
      <c r="D25" s="4" t="s">
        <v>19</v>
      </c>
      <c r="E25" s="4" t="s">
        <v>25</v>
      </c>
      <c r="F25" s="4" t="s">
        <v>82</v>
      </c>
      <c r="G25" s="4">
        <v>2.0</v>
      </c>
      <c r="H25" s="6">
        <v>24771.87</v>
      </c>
      <c r="I25" s="6">
        <v>49543.74</v>
      </c>
      <c r="J25" s="6">
        <v>40592.35</v>
      </c>
      <c r="K25" s="6">
        <v>8951.39</v>
      </c>
      <c r="L25" s="4" t="str">
        <f t="shared" si="1"/>
        <v>Jan-2025</v>
      </c>
    </row>
    <row r="26" ht="15.75" customHeight="1">
      <c r="A26" s="4" t="s">
        <v>83</v>
      </c>
      <c r="B26" s="5">
        <v>45665.0</v>
      </c>
      <c r="C26" s="4" t="s">
        <v>41</v>
      </c>
      <c r="D26" s="4" t="s">
        <v>42</v>
      </c>
      <c r="E26" s="4" t="s">
        <v>25</v>
      </c>
      <c r="F26" s="4" t="s">
        <v>84</v>
      </c>
      <c r="G26" s="4">
        <v>3.0</v>
      </c>
      <c r="H26" s="6">
        <v>1618.25</v>
      </c>
      <c r="I26" s="6">
        <v>4854.75</v>
      </c>
      <c r="J26" s="6">
        <v>4261.24</v>
      </c>
      <c r="K26" s="6">
        <v>593.51</v>
      </c>
      <c r="L26" s="4" t="str">
        <f t="shared" si="1"/>
        <v>Jan-2025</v>
      </c>
    </row>
    <row r="27" ht="15.75" customHeight="1">
      <c r="A27" s="4" t="s">
        <v>85</v>
      </c>
      <c r="B27" s="5">
        <v>45665.0</v>
      </c>
      <c r="C27" s="4" t="s">
        <v>47</v>
      </c>
      <c r="D27" s="4" t="s">
        <v>14</v>
      </c>
      <c r="E27" s="4" t="s">
        <v>25</v>
      </c>
      <c r="F27" s="4" t="s">
        <v>86</v>
      </c>
      <c r="G27" s="4">
        <v>3.0</v>
      </c>
      <c r="H27" s="6">
        <v>578.77</v>
      </c>
      <c r="I27" s="6">
        <v>1736.31</v>
      </c>
      <c r="J27" s="6">
        <v>1440.57</v>
      </c>
      <c r="K27" s="6">
        <v>295.74</v>
      </c>
      <c r="L27" s="4" t="str">
        <f t="shared" si="1"/>
        <v>Jan-2025</v>
      </c>
    </row>
    <row r="28" ht="15.75" customHeight="1">
      <c r="A28" s="4" t="s">
        <v>87</v>
      </c>
      <c r="B28" s="5">
        <v>45665.0</v>
      </c>
      <c r="C28" s="4" t="s">
        <v>61</v>
      </c>
      <c r="D28" s="4" t="s">
        <v>19</v>
      </c>
      <c r="E28" s="4" t="s">
        <v>29</v>
      </c>
      <c r="F28" s="4" t="s">
        <v>88</v>
      </c>
      <c r="G28" s="4">
        <v>6.0</v>
      </c>
      <c r="H28" s="6">
        <v>14412.58</v>
      </c>
      <c r="I28" s="6">
        <v>86475.48</v>
      </c>
      <c r="J28" s="6">
        <v>71687.44</v>
      </c>
      <c r="K28" s="6">
        <v>14788.04</v>
      </c>
      <c r="L28" s="4" t="str">
        <f t="shared" si="1"/>
        <v>Jan-2025</v>
      </c>
    </row>
    <row r="29" ht="15.75" customHeight="1">
      <c r="A29" s="4" t="s">
        <v>89</v>
      </c>
      <c r="B29" s="5">
        <v>45665.0</v>
      </c>
      <c r="C29" s="4" t="s">
        <v>32</v>
      </c>
      <c r="D29" s="4" t="s">
        <v>19</v>
      </c>
      <c r="E29" s="4" t="s">
        <v>15</v>
      </c>
      <c r="F29" s="4" t="s">
        <v>90</v>
      </c>
      <c r="G29" s="4">
        <v>1.0</v>
      </c>
      <c r="H29" s="6">
        <v>49928.7</v>
      </c>
      <c r="I29" s="6">
        <v>49928.7</v>
      </c>
      <c r="J29" s="6">
        <v>40466.62</v>
      </c>
      <c r="K29" s="6">
        <v>9462.08</v>
      </c>
      <c r="L29" s="4" t="str">
        <f t="shared" si="1"/>
        <v>Jan-2025</v>
      </c>
    </row>
    <row r="30" ht="15.75" customHeight="1">
      <c r="A30" s="4" t="s">
        <v>91</v>
      </c>
      <c r="B30" s="5">
        <v>45666.0</v>
      </c>
      <c r="C30" s="4" t="s">
        <v>92</v>
      </c>
      <c r="D30" s="4" t="s">
        <v>14</v>
      </c>
      <c r="E30" s="4" t="s">
        <v>25</v>
      </c>
      <c r="F30" s="4" t="s">
        <v>93</v>
      </c>
      <c r="G30" s="4">
        <v>5.0</v>
      </c>
      <c r="H30" s="6">
        <v>151.05</v>
      </c>
      <c r="I30" s="6">
        <v>755.25</v>
      </c>
      <c r="J30" s="6">
        <v>558.71</v>
      </c>
      <c r="K30" s="6">
        <v>196.54</v>
      </c>
      <c r="L30" s="4" t="str">
        <f t="shared" si="1"/>
        <v>Jan-2025</v>
      </c>
    </row>
    <row r="31" ht="15.75" customHeight="1">
      <c r="A31" s="4" t="s">
        <v>94</v>
      </c>
      <c r="B31" s="5">
        <v>45666.0</v>
      </c>
      <c r="C31" s="4" t="s">
        <v>66</v>
      </c>
      <c r="D31" s="4" t="s">
        <v>42</v>
      </c>
      <c r="E31" s="4" t="s">
        <v>25</v>
      </c>
      <c r="F31" s="4" t="s">
        <v>95</v>
      </c>
      <c r="G31" s="4">
        <v>1.0</v>
      </c>
      <c r="H31" s="6">
        <v>2844.12</v>
      </c>
      <c r="I31" s="6">
        <v>2844.12</v>
      </c>
      <c r="J31" s="6">
        <v>2448.89</v>
      </c>
      <c r="K31" s="6">
        <v>395.23</v>
      </c>
      <c r="L31" s="4" t="str">
        <f t="shared" si="1"/>
        <v>Jan-2025</v>
      </c>
    </row>
    <row r="32" ht="15.75" customHeight="1">
      <c r="A32" s="4" t="s">
        <v>96</v>
      </c>
      <c r="B32" s="5">
        <v>45667.0</v>
      </c>
      <c r="C32" s="4" t="s">
        <v>75</v>
      </c>
      <c r="D32" s="4" t="s">
        <v>24</v>
      </c>
      <c r="E32" s="4" t="s">
        <v>29</v>
      </c>
      <c r="F32" s="4" t="s">
        <v>97</v>
      </c>
      <c r="G32" s="4">
        <v>5.0</v>
      </c>
      <c r="H32" s="6">
        <v>6174.91</v>
      </c>
      <c r="I32" s="6">
        <v>30874.55</v>
      </c>
      <c r="J32" s="6">
        <v>26912.37</v>
      </c>
      <c r="K32" s="6">
        <v>3962.18</v>
      </c>
      <c r="L32" s="4" t="str">
        <f t="shared" si="1"/>
        <v>Jan-2025</v>
      </c>
    </row>
    <row r="33" ht="15.75" customHeight="1">
      <c r="A33" s="4" t="s">
        <v>98</v>
      </c>
      <c r="B33" s="5">
        <v>45667.0</v>
      </c>
      <c r="C33" s="4" t="s">
        <v>92</v>
      </c>
      <c r="D33" s="4" t="s">
        <v>14</v>
      </c>
      <c r="E33" s="4" t="s">
        <v>25</v>
      </c>
      <c r="F33" s="4" t="s">
        <v>99</v>
      </c>
      <c r="G33" s="4">
        <v>2.0</v>
      </c>
      <c r="H33" s="6">
        <v>375.69</v>
      </c>
      <c r="I33" s="6">
        <v>751.38</v>
      </c>
      <c r="J33" s="6">
        <v>582.55</v>
      </c>
      <c r="K33" s="6">
        <v>168.83</v>
      </c>
      <c r="L33" s="4" t="str">
        <f t="shared" si="1"/>
        <v>Jan-2025</v>
      </c>
    </row>
    <row r="34" ht="15.75" customHeight="1">
      <c r="A34" s="4" t="s">
        <v>100</v>
      </c>
      <c r="B34" s="5">
        <v>45667.0</v>
      </c>
      <c r="C34" s="4" t="s">
        <v>75</v>
      </c>
      <c r="D34" s="4" t="s">
        <v>24</v>
      </c>
      <c r="E34" s="4" t="s">
        <v>20</v>
      </c>
      <c r="F34" s="4" t="s">
        <v>55</v>
      </c>
      <c r="G34" s="4">
        <v>2.0</v>
      </c>
      <c r="H34" s="6">
        <v>15266.87</v>
      </c>
      <c r="I34" s="6">
        <v>30533.74</v>
      </c>
      <c r="J34" s="6">
        <v>23071.51</v>
      </c>
      <c r="K34" s="6">
        <v>7462.23</v>
      </c>
      <c r="L34" s="4" t="str">
        <f t="shared" si="1"/>
        <v>Jan-2025</v>
      </c>
    </row>
    <row r="35" ht="15.75" customHeight="1">
      <c r="A35" s="4" t="s">
        <v>101</v>
      </c>
      <c r="B35" s="5">
        <v>45667.0</v>
      </c>
      <c r="C35" s="4" t="s">
        <v>102</v>
      </c>
      <c r="D35" s="4" t="s">
        <v>24</v>
      </c>
      <c r="E35" s="4" t="s">
        <v>29</v>
      </c>
      <c r="F35" s="4" t="s">
        <v>103</v>
      </c>
      <c r="G35" s="4">
        <v>6.0</v>
      </c>
      <c r="H35" s="6">
        <v>4264.21</v>
      </c>
      <c r="I35" s="6">
        <v>25585.26</v>
      </c>
      <c r="J35" s="6">
        <v>20313.58</v>
      </c>
      <c r="K35" s="6">
        <v>5271.68</v>
      </c>
      <c r="L35" s="4" t="str">
        <f t="shared" si="1"/>
        <v>Jan-2025</v>
      </c>
    </row>
    <row r="36" ht="15.75" customHeight="1">
      <c r="A36" s="4" t="s">
        <v>104</v>
      </c>
      <c r="B36" s="5">
        <v>45667.0</v>
      </c>
      <c r="C36" s="4" t="s">
        <v>66</v>
      </c>
      <c r="D36" s="4" t="s">
        <v>42</v>
      </c>
      <c r="E36" s="4" t="s">
        <v>29</v>
      </c>
      <c r="F36" s="4" t="s">
        <v>105</v>
      </c>
      <c r="G36" s="4">
        <v>6.0</v>
      </c>
      <c r="H36" s="6">
        <v>3156.73</v>
      </c>
      <c r="I36" s="6">
        <v>18940.38</v>
      </c>
      <c r="J36" s="6">
        <v>15471.75</v>
      </c>
      <c r="K36" s="6">
        <v>3468.63</v>
      </c>
      <c r="L36" s="4" t="str">
        <f t="shared" si="1"/>
        <v>Jan-2025</v>
      </c>
    </row>
    <row r="37" ht="15.75" customHeight="1">
      <c r="A37" s="4" t="s">
        <v>106</v>
      </c>
      <c r="B37" s="5">
        <v>45667.0</v>
      </c>
      <c r="C37" s="4" t="s">
        <v>35</v>
      </c>
      <c r="D37" s="4" t="s">
        <v>14</v>
      </c>
      <c r="E37" s="4" t="s">
        <v>29</v>
      </c>
      <c r="F37" s="4" t="s">
        <v>107</v>
      </c>
      <c r="G37" s="4">
        <v>6.0</v>
      </c>
      <c r="H37" s="6">
        <v>694.37</v>
      </c>
      <c r="I37" s="6">
        <v>4166.22</v>
      </c>
      <c r="J37" s="6">
        <v>3538.89</v>
      </c>
      <c r="K37" s="6">
        <v>627.33</v>
      </c>
      <c r="L37" s="4" t="str">
        <f t="shared" si="1"/>
        <v>Jan-2025</v>
      </c>
    </row>
    <row r="38" ht="15.75" customHeight="1">
      <c r="A38" s="4" t="s">
        <v>108</v>
      </c>
      <c r="B38" s="5">
        <v>45667.0</v>
      </c>
      <c r="C38" s="4" t="s">
        <v>109</v>
      </c>
      <c r="D38" s="4" t="s">
        <v>42</v>
      </c>
      <c r="E38" s="4" t="s">
        <v>29</v>
      </c>
      <c r="F38" s="4" t="s">
        <v>110</v>
      </c>
      <c r="G38" s="4">
        <v>6.0</v>
      </c>
      <c r="H38" s="6">
        <v>1718.2</v>
      </c>
      <c r="I38" s="6">
        <v>10309.2</v>
      </c>
      <c r="J38" s="6">
        <v>9231.86</v>
      </c>
      <c r="K38" s="6">
        <v>1077.34</v>
      </c>
      <c r="L38" s="4" t="str">
        <f t="shared" si="1"/>
        <v>Jan-2025</v>
      </c>
    </row>
    <row r="39" ht="15.75" customHeight="1">
      <c r="A39" s="4" t="s">
        <v>111</v>
      </c>
      <c r="B39" s="5">
        <v>45668.0</v>
      </c>
      <c r="C39" s="4" t="s">
        <v>66</v>
      </c>
      <c r="D39" s="4" t="s">
        <v>42</v>
      </c>
      <c r="E39" s="4" t="s">
        <v>29</v>
      </c>
      <c r="F39" s="4" t="s">
        <v>64</v>
      </c>
      <c r="G39" s="4">
        <v>2.0</v>
      </c>
      <c r="H39" s="6">
        <v>1469.46</v>
      </c>
      <c r="I39" s="6">
        <v>2938.92</v>
      </c>
      <c r="J39" s="6">
        <v>2232.68</v>
      </c>
      <c r="K39" s="6">
        <v>706.24</v>
      </c>
      <c r="L39" s="4" t="str">
        <f t="shared" si="1"/>
        <v>Jan-2025</v>
      </c>
    </row>
    <row r="40" ht="15.75" customHeight="1">
      <c r="A40" s="4" t="s">
        <v>112</v>
      </c>
      <c r="B40" s="5">
        <v>45669.0</v>
      </c>
      <c r="C40" s="4" t="s">
        <v>102</v>
      </c>
      <c r="D40" s="4" t="s">
        <v>24</v>
      </c>
      <c r="E40" s="4" t="s">
        <v>25</v>
      </c>
      <c r="F40" s="4" t="s">
        <v>51</v>
      </c>
      <c r="G40" s="4">
        <v>3.0</v>
      </c>
      <c r="H40" s="6">
        <v>14637.72</v>
      </c>
      <c r="I40" s="6">
        <v>43913.16</v>
      </c>
      <c r="J40" s="6">
        <v>37055.13</v>
      </c>
      <c r="K40" s="6">
        <v>6858.03</v>
      </c>
      <c r="L40" s="4" t="str">
        <f t="shared" si="1"/>
        <v>Jan-2025</v>
      </c>
    </row>
    <row r="41" ht="15.75" customHeight="1">
      <c r="A41" s="4" t="s">
        <v>113</v>
      </c>
      <c r="B41" s="5">
        <v>45669.0</v>
      </c>
      <c r="C41" s="4" t="s">
        <v>38</v>
      </c>
      <c r="D41" s="4" t="s">
        <v>19</v>
      </c>
      <c r="E41" s="4" t="s">
        <v>29</v>
      </c>
      <c r="F41" s="4" t="s">
        <v>114</v>
      </c>
      <c r="G41" s="4">
        <v>1.0</v>
      </c>
      <c r="H41" s="6">
        <v>3587.41</v>
      </c>
      <c r="I41" s="6">
        <v>3587.41</v>
      </c>
      <c r="J41" s="6">
        <v>2991.68</v>
      </c>
      <c r="K41" s="6">
        <v>595.73</v>
      </c>
      <c r="L41" s="4" t="str">
        <f t="shared" si="1"/>
        <v>Jan-2025</v>
      </c>
    </row>
    <row r="42" ht="15.75" customHeight="1">
      <c r="A42" s="4" t="s">
        <v>115</v>
      </c>
      <c r="B42" s="5">
        <v>45669.0</v>
      </c>
      <c r="C42" s="4" t="s">
        <v>28</v>
      </c>
      <c r="D42" s="4" t="s">
        <v>14</v>
      </c>
      <c r="E42" s="4" t="s">
        <v>29</v>
      </c>
      <c r="F42" s="4" t="s">
        <v>116</v>
      </c>
      <c r="G42" s="4">
        <v>2.0</v>
      </c>
      <c r="H42" s="6">
        <v>832.61</v>
      </c>
      <c r="I42" s="6">
        <v>1665.22</v>
      </c>
      <c r="J42" s="6">
        <v>1264.7</v>
      </c>
      <c r="K42" s="6">
        <v>400.52</v>
      </c>
      <c r="L42" s="4" t="str">
        <f t="shared" si="1"/>
        <v>Jan-2025</v>
      </c>
    </row>
    <row r="43" ht="15.75" customHeight="1">
      <c r="A43" s="4" t="s">
        <v>117</v>
      </c>
      <c r="B43" s="5">
        <v>45669.0</v>
      </c>
      <c r="C43" s="4" t="s">
        <v>61</v>
      </c>
      <c r="D43" s="4" t="s">
        <v>19</v>
      </c>
      <c r="E43" s="4" t="s">
        <v>20</v>
      </c>
      <c r="F43" s="4" t="s">
        <v>48</v>
      </c>
      <c r="G43" s="4">
        <v>2.0</v>
      </c>
      <c r="H43" s="6">
        <v>10353.13</v>
      </c>
      <c r="I43" s="6">
        <v>20706.26</v>
      </c>
      <c r="J43" s="6">
        <v>18229.54</v>
      </c>
      <c r="K43" s="6">
        <v>2476.72</v>
      </c>
      <c r="L43" s="4" t="str">
        <f t="shared" si="1"/>
        <v>Jan-2025</v>
      </c>
    </row>
    <row r="44" ht="15.75" customHeight="1">
      <c r="A44" s="4" t="s">
        <v>118</v>
      </c>
      <c r="B44" s="5">
        <v>45669.0</v>
      </c>
      <c r="C44" s="4" t="s">
        <v>72</v>
      </c>
      <c r="D44" s="4" t="s">
        <v>24</v>
      </c>
      <c r="E44" s="4" t="s">
        <v>29</v>
      </c>
      <c r="F44" s="4" t="s">
        <v>119</v>
      </c>
      <c r="G44" s="4">
        <v>3.0</v>
      </c>
      <c r="H44" s="6">
        <v>8704.29</v>
      </c>
      <c r="I44" s="6">
        <v>26112.87</v>
      </c>
      <c r="J44" s="6">
        <v>20959.62</v>
      </c>
      <c r="K44" s="6">
        <v>5153.25</v>
      </c>
      <c r="L44" s="4" t="str">
        <f t="shared" si="1"/>
        <v>Jan-2025</v>
      </c>
    </row>
    <row r="45" ht="15.75" customHeight="1">
      <c r="A45" s="4" t="s">
        <v>120</v>
      </c>
      <c r="B45" s="5">
        <v>45669.0</v>
      </c>
      <c r="C45" s="4" t="s">
        <v>35</v>
      </c>
      <c r="D45" s="4" t="s">
        <v>14</v>
      </c>
      <c r="E45" s="4" t="s">
        <v>29</v>
      </c>
      <c r="F45" s="4" t="s">
        <v>121</v>
      </c>
      <c r="G45" s="4">
        <v>2.0</v>
      </c>
      <c r="H45" s="6">
        <v>316.49</v>
      </c>
      <c r="I45" s="6">
        <v>632.98</v>
      </c>
      <c r="J45" s="6">
        <v>535.37</v>
      </c>
      <c r="K45" s="6">
        <v>97.61</v>
      </c>
      <c r="L45" s="4" t="str">
        <f t="shared" si="1"/>
        <v>Jan-2025</v>
      </c>
    </row>
    <row r="46" ht="15.75" customHeight="1">
      <c r="A46" s="4" t="s">
        <v>122</v>
      </c>
      <c r="B46" s="5">
        <v>45670.0</v>
      </c>
      <c r="C46" s="4" t="s">
        <v>47</v>
      </c>
      <c r="D46" s="4" t="s">
        <v>14</v>
      </c>
      <c r="E46" s="4" t="s">
        <v>20</v>
      </c>
      <c r="F46" s="4" t="s">
        <v>123</v>
      </c>
      <c r="G46" s="4">
        <v>5.0</v>
      </c>
      <c r="H46" s="6">
        <v>1453.56</v>
      </c>
      <c r="I46" s="6">
        <v>7267.8</v>
      </c>
      <c r="J46" s="6">
        <v>5502.55</v>
      </c>
      <c r="K46" s="6">
        <v>1765.25</v>
      </c>
      <c r="L46" s="4" t="str">
        <f t="shared" si="1"/>
        <v>Jan-2025</v>
      </c>
    </row>
    <row r="47" ht="15.75" customHeight="1">
      <c r="A47" s="4" t="s">
        <v>124</v>
      </c>
      <c r="B47" s="5">
        <v>45670.0</v>
      </c>
      <c r="C47" s="4" t="s">
        <v>61</v>
      </c>
      <c r="D47" s="4" t="s">
        <v>19</v>
      </c>
      <c r="E47" s="4" t="s">
        <v>25</v>
      </c>
      <c r="F47" s="4" t="s">
        <v>125</v>
      </c>
      <c r="G47" s="4">
        <v>4.0</v>
      </c>
      <c r="H47" s="6">
        <v>16145.89</v>
      </c>
      <c r="I47" s="6">
        <v>64583.56</v>
      </c>
      <c r="J47" s="6">
        <v>55507.33</v>
      </c>
      <c r="K47" s="6">
        <v>9076.23</v>
      </c>
      <c r="L47" s="4" t="str">
        <f t="shared" si="1"/>
        <v>Jan-2025</v>
      </c>
    </row>
    <row r="48" ht="15.75" customHeight="1">
      <c r="A48" s="4" t="s">
        <v>126</v>
      </c>
      <c r="B48" s="5">
        <v>45671.0</v>
      </c>
      <c r="C48" s="4" t="s">
        <v>61</v>
      </c>
      <c r="D48" s="4" t="s">
        <v>19</v>
      </c>
      <c r="E48" s="4" t="s">
        <v>15</v>
      </c>
      <c r="F48" s="4" t="s">
        <v>127</v>
      </c>
      <c r="G48" s="4">
        <v>2.0</v>
      </c>
      <c r="H48" s="6">
        <v>68383.16</v>
      </c>
      <c r="I48" s="6">
        <v>136766.32</v>
      </c>
      <c r="J48" s="6">
        <v>110343.45</v>
      </c>
      <c r="K48" s="6">
        <v>26422.87</v>
      </c>
      <c r="L48" s="4" t="str">
        <f t="shared" si="1"/>
        <v>Jan-2025</v>
      </c>
    </row>
    <row r="49" ht="15.75" customHeight="1">
      <c r="A49" s="4" t="s">
        <v>128</v>
      </c>
      <c r="B49" s="5">
        <v>45671.0</v>
      </c>
      <c r="C49" s="4" t="s">
        <v>13</v>
      </c>
      <c r="D49" s="4" t="s">
        <v>14</v>
      </c>
      <c r="E49" s="4" t="s">
        <v>20</v>
      </c>
      <c r="F49" s="4" t="s">
        <v>129</v>
      </c>
      <c r="G49" s="4">
        <v>1.0</v>
      </c>
      <c r="H49" s="6">
        <v>698.98</v>
      </c>
      <c r="I49" s="6">
        <v>698.98</v>
      </c>
      <c r="J49" s="6">
        <v>538.55</v>
      </c>
      <c r="K49" s="6">
        <v>160.43</v>
      </c>
      <c r="L49" s="4" t="str">
        <f t="shared" si="1"/>
        <v>Jan-2025</v>
      </c>
    </row>
    <row r="50" ht="15.75" customHeight="1">
      <c r="A50" s="4" t="s">
        <v>130</v>
      </c>
      <c r="B50" s="5">
        <v>45671.0</v>
      </c>
      <c r="C50" s="4" t="s">
        <v>41</v>
      </c>
      <c r="D50" s="4" t="s">
        <v>42</v>
      </c>
      <c r="E50" s="4" t="s">
        <v>20</v>
      </c>
      <c r="F50" s="4" t="s">
        <v>131</v>
      </c>
      <c r="G50" s="4">
        <v>4.0</v>
      </c>
      <c r="H50" s="6">
        <v>4107.28</v>
      </c>
      <c r="I50" s="6">
        <v>16429.12</v>
      </c>
      <c r="J50" s="6">
        <v>14159.72</v>
      </c>
      <c r="K50" s="6">
        <v>2269.4</v>
      </c>
      <c r="L50" s="4" t="str">
        <f t="shared" si="1"/>
        <v>Jan-2025</v>
      </c>
    </row>
    <row r="51" ht="15.75" customHeight="1">
      <c r="A51" s="4" t="s">
        <v>132</v>
      </c>
      <c r="B51" s="5">
        <v>45671.0</v>
      </c>
      <c r="C51" s="4" t="s">
        <v>35</v>
      </c>
      <c r="D51" s="4" t="s">
        <v>14</v>
      </c>
      <c r="E51" s="4" t="s">
        <v>29</v>
      </c>
      <c r="F51" s="4" t="s">
        <v>133</v>
      </c>
      <c r="G51" s="4">
        <v>7.0</v>
      </c>
      <c r="H51" s="6">
        <v>648.9</v>
      </c>
      <c r="I51" s="6">
        <v>4542.3</v>
      </c>
      <c r="J51" s="6">
        <v>3785.75</v>
      </c>
      <c r="K51" s="6">
        <v>756.55</v>
      </c>
      <c r="L51" s="4" t="str">
        <f t="shared" si="1"/>
        <v>Jan-2025</v>
      </c>
    </row>
    <row r="52" ht="15.75" customHeight="1">
      <c r="A52" s="4" t="s">
        <v>134</v>
      </c>
      <c r="B52" s="5">
        <v>45671.0</v>
      </c>
      <c r="C52" s="4" t="s">
        <v>28</v>
      </c>
      <c r="D52" s="4" t="s">
        <v>14</v>
      </c>
      <c r="E52" s="4" t="s">
        <v>20</v>
      </c>
      <c r="F52" s="4" t="s">
        <v>135</v>
      </c>
      <c r="G52" s="4">
        <v>5.0</v>
      </c>
      <c r="H52" s="6">
        <v>83.2</v>
      </c>
      <c r="I52" s="6">
        <v>416.0</v>
      </c>
      <c r="J52" s="6">
        <v>285.9</v>
      </c>
      <c r="K52" s="6">
        <v>130.1</v>
      </c>
      <c r="L52" s="4" t="str">
        <f t="shared" si="1"/>
        <v>Jan-2025</v>
      </c>
    </row>
    <row r="53" ht="15.75" customHeight="1">
      <c r="A53" s="4" t="s">
        <v>136</v>
      </c>
      <c r="B53" s="5">
        <v>45672.0</v>
      </c>
      <c r="C53" s="4" t="s">
        <v>50</v>
      </c>
      <c r="D53" s="4" t="s">
        <v>42</v>
      </c>
      <c r="E53" s="4" t="s">
        <v>25</v>
      </c>
      <c r="F53" s="4" t="s">
        <v>84</v>
      </c>
      <c r="G53" s="4">
        <v>5.0</v>
      </c>
      <c r="H53" s="6">
        <v>4375.55</v>
      </c>
      <c r="I53" s="6">
        <v>21877.75</v>
      </c>
      <c r="J53" s="6">
        <v>19388.55</v>
      </c>
      <c r="K53" s="6">
        <v>2489.2</v>
      </c>
      <c r="L53" s="4" t="str">
        <f t="shared" si="1"/>
        <v>Jan-2025</v>
      </c>
    </row>
    <row r="54" ht="15.75" customHeight="1">
      <c r="A54" s="4" t="s">
        <v>137</v>
      </c>
      <c r="B54" s="5">
        <v>45673.0</v>
      </c>
      <c r="C54" s="4" t="s">
        <v>66</v>
      </c>
      <c r="D54" s="4" t="s">
        <v>42</v>
      </c>
      <c r="E54" s="4" t="s">
        <v>29</v>
      </c>
      <c r="F54" s="4" t="s">
        <v>138</v>
      </c>
      <c r="G54" s="4">
        <v>7.0</v>
      </c>
      <c r="H54" s="6">
        <v>2921.34</v>
      </c>
      <c r="I54" s="6">
        <v>20449.38</v>
      </c>
      <c r="J54" s="6">
        <v>17172.29</v>
      </c>
      <c r="K54" s="6">
        <v>3277.09</v>
      </c>
      <c r="L54" s="4" t="str">
        <f t="shared" si="1"/>
        <v>Jan-2025</v>
      </c>
    </row>
    <row r="55" ht="15.75" customHeight="1">
      <c r="A55" s="4" t="s">
        <v>139</v>
      </c>
      <c r="B55" s="5">
        <v>45673.0</v>
      </c>
      <c r="C55" s="4" t="s">
        <v>140</v>
      </c>
      <c r="D55" s="4" t="s">
        <v>14</v>
      </c>
      <c r="E55" s="4" t="s">
        <v>20</v>
      </c>
      <c r="F55" s="4" t="s">
        <v>141</v>
      </c>
      <c r="G55" s="4">
        <v>3.0</v>
      </c>
      <c r="H55" s="6">
        <v>1420.01</v>
      </c>
      <c r="I55" s="6">
        <v>4260.03</v>
      </c>
      <c r="J55" s="6">
        <v>3291.54</v>
      </c>
      <c r="K55" s="6">
        <v>968.49</v>
      </c>
      <c r="L55" s="4" t="str">
        <f t="shared" si="1"/>
        <v>Jan-2025</v>
      </c>
    </row>
    <row r="56" ht="15.75" customHeight="1">
      <c r="A56" s="4" t="s">
        <v>142</v>
      </c>
      <c r="B56" s="5">
        <v>45673.0</v>
      </c>
      <c r="C56" s="4" t="s">
        <v>23</v>
      </c>
      <c r="D56" s="4" t="s">
        <v>24</v>
      </c>
      <c r="E56" s="4" t="s">
        <v>15</v>
      </c>
      <c r="F56" s="4" t="s">
        <v>143</v>
      </c>
      <c r="G56" s="4">
        <v>5.0</v>
      </c>
      <c r="H56" s="6">
        <v>17975.1</v>
      </c>
      <c r="I56" s="6">
        <v>89875.5</v>
      </c>
      <c r="J56" s="6">
        <v>67079.56</v>
      </c>
      <c r="K56" s="6">
        <v>22795.94</v>
      </c>
      <c r="L56" s="4" t="str">
        <f t="shared" si="1"/>
        <v>Jan-2025</v>
      </c>
    </row>
    <row r="57" ht="15.75" customHeight="1">
      <c r="A57" s="4" t="s">
        <v>144</v>
      </c>
      <c r="B57" s="5">
        <v>45673.0</v>
      </c>
      <c r="C57" s="4" t="s">
        <v>140</v>
      </c>
      <c r="D57" s="4" t="s">
        <v>14</v>
      </c>
      <c r="E57" s="4" t="s">
        <v>25</v>
      </c>
      <c r="F57" s="4" t="s">
        <v>145</v>
      </c>
      <c r="G57" s="4">
        <v>4.0</v>
      </c>
      <c r="H57" s="6">
        <v>1441.19</v>
      </c>
      <c r="I57" s="6">
        <v>5764.76</v>
      </c>
      <c r="J57" s="6">
        <v>4164.24</v>
      </c>
      <c r="K57" s="6">
        <v>1600.52</v>
      </c>
      <c r="L57" s="4" t="str">
        <f t="shared" si="1"/>
        <v>Jan-2025</v>
      </c>
    </row>
    <row r="58" ht="15.75" customHeight="1">
      <c r="A58" s="4" t="s">
        <v>146</v>
      </c>
      <c r="B58" s="5">
        <v>45673.0</v>
      </c>
      <c r="C58" s="4" t="s">
        <v>72</v>
      </c>
      <c r="D58" s="4" t="s">
        <v>24</v>
      </c>
      <c r="E58" s="4" t="s">
        <v>15</v>
      </c>
      <c r="F58" s="4" t="s">
        <v>147</v>
      </c>
      <c r="G58" s="4">
        <v>4.0</v>
      </c>
      <c r="H58" s="6">
        <v>5863.93</v>
      </c>
      <c r="I58" s="6">
        <v>23455.72</v>
      </c>
      <c r="J58" s="6">
        <v>19407.22</v>
      </c>
      <c r="K58" s="6">
        <v>4048.5</v>
      </c>
      <c r="L58" s="4" t="str">
        <f t="shared" si="1"/>
        <v>Jan-2025</v>
      </c>
    </row>
    <row r="59" ht="15.75" customHeight="1">
      <c r="A59" s="4" t="s">
        <v>148</v>
      </c>
      <c r="B59" s="5">
        <v>45674.0</v>
      </c>
      <c r="C59" s="4" t="s">
        <v>69</v>
      </c>
      <c r="D59" s="4" t="s">
        <v>19</v>
      </c>
      <c r="E59" s="4" t="s">
        <v>29</v>
      </c>
      <c r="F59" s="4" t="s">
        <v>125</v>
      </c>
      <c r="G59" s="4">
        <v>6.0</v>
      </c>
      <c r="H59" s="6">
        <v>70682.78</v>
      </c>
      <c r="I59" s="6">
        <v>424096.68</v>
      </c>
      <c r="J59" s="6">
        <v>359443.43</v>
      </c>
      <c r="K59" s="6">
        <v>64653.25</v>
      </c>
      <c r="L59" s="4" t="str">
        <f t="shared" si="1"/>
        <v>Jan-2025</v>
      </c>
    </row>
    <row r="60" ht="15.75" customHeight="1">
      <c r="A60" s="4" t="s">
        <v>149</v>
      </c>
      <c r="B60" s="5">
        <v>45674.0</v>
      </c>
      <c r="C60" s="4" t="s">
        <v>72</v>
      </c>
      <c r="D60" s="4" t="s">
        <v>24</v>
      </c>
      <c r="E60" s="4" t="s">
        <v>20</v>
      </c>
      <c r="F60" s="4" t="s">
        <v>150</v>
      </c>
      <c r="G60" s="4">
        <v>5.0</v>
      </c>
      <c r="H60" s="6">
        <v>13931.06</v>
      </c>
      <c r="I60" s="6">
        <v>69655.3</v>
      </c>
      <c r="J60" s="6">
        <v>52681.84</v>
      </c>
      <c r="K60" s="6">
        <v>16973.46</v>
      </c>
      <c r="L60" s="4" t="str">
        <f t="shared" si="1"/>
        <v>Jan-2025</v>
      </c>
    </row>
    <row r="61" ht="15.75" customHeight="1">
      <c r="A61" s="4" t="s">
        <v>151</v>
      </c>
      <c r="B61" s="5">
        <v>45674.0</v>
      </c>
      <c r="C61" s="4" t="s">
        <v>35</v>
      </c>
      <c r="D61" s="4" t="s">
        <v>14</v>
      </c>
      <c r="E61" s="4" t="s">
        <v>29</v>
      </c>
      <c r="F61" s="4" t="s">
        <v>127</v>
      </c>
      <c r="G61" s="4">
        <v>3.0</v>
      </c>
      <c r="H61" s="6">
        <v>297.17</v>
      </c>
      <c r="I61" s="6">
        <v>891.51</v>
      </c>
      <c r="J61" s="6">
        <v>692.34</v>
      </c>
      <c r="K61" s="6">
        <v>199.17</v>
      </c>
      <c r="L61" s="4" t="str">
        <f t="shared" si="1"/>
        <v>Jan-2025</v>
      </c>
    </row>
    <row r="62" ht="15.75" customHeight="1">
      <c r="A62" s="4" t="s">
        <v>152</v>
      </c>
      <c r="B62" s="5">
        <v>45674.0</v>
      </c>
      <c r="C62" s="4" t="s">
        <v>61</v>
      </c>
      <c r="D62" s="4" t="s">
        <v>19</v>
      </c>
      <c r="E62" s="4" t="s">
        <v>20</v>
      </c>
      <c r="F62" s="4" t="s">
        <v>153</v>
      </c>
      <c r="G62" s="4">
        <v>1.0</v>
      </c>
      <c r="H62" s="6">
        <v>70493.11</v>
      </c>
      <c r="I62" s="6">
        <v>70493.11</v>
      </c>
      <c r="J62" s="6">
        <v>64837.32</v>
      </c>
      <c r="K62" s="6">
        <v>5655.79</v>
      </c>
      <c r="L62" s="4" t="str">
        <f t="shared" si="1"/>
        <v>Jan-2025</v>
      </c>
    </row>
    <row r="63" ht="15.75" customHeight="1">
      <c r="A63" s="4" t="s">
        <v>154</v>
      </c>
      <c r="B63" s="5">
        <v>45674.0</v>
      </c>
      <c r="C63" s="4" t="s">
        <v>155</v>
      </c>
      <c r="D63" s="4" t="s">
        <v>24</v>
      </c>
      <c r="E63" s="4" t="s">
        <v>20</v>
      </c>
      <c r="F63" s="4" t="s">
        <v>156</v>
      </c>
      <c r="G63" s="4">
        <v>6.0</v>
      </c>
      <c r="H63" s="6">
        <v>11275.79</v>
      </c>
      <c r="I63" s="6">
        <v>67654.74</v>
      </c>
      <c r="J63" s="6">
        <v>51394.62</v>
      </c>
      <c r="K63" s="6">
        <v>16260.12</v>
      </c>
      <c r="L63" s="4" t="str">
        <f t="shared" si="1"/>
        <v>Jan-2025</v>
      </c>
    </row>
    <row r="64" ht="15.75" customHeight="1">
      <c r="A64" s="4" t="s">
        <v>157</v>
      </c>
      <c r="B64" s="5">
        <v>45674.0</v>
      </c>
      <c r="C64" s="4" t="s">
        <v>61</v>
      </c>
      <c r="D64" s="4" t="s">
        <v>19</v>
      </c>
      <c r="E64" s="4" t="s">
        <v>29</v>
      </c>
      <c r="F64" s="4" t="s">
        <v>158</v>
      </c>
      <c r="G64" s="4">
        <v>6.0</v>
      </c>
      <c r="H64" s="6">
        <v>71581.5</v>
      </c>
      <c r="I64" s="6">
        <v>429489.0</v>
      </c>
      <c r="J64" s="6">
        <v>347978.98</v>
      </c>
      <c r="K64" s="6">
        <v>81510.02</v>
      </c>
      <c r="L64" s="4" t="str">
        <f t="shared" si="1"/>
        <v>Jan-2025</v>
      </c>
    </row>
    <row r="65" ht="15.75" customHeight="1">
      <c r="A65" s="4" t="s">
        <v>159</v>
      </c>
      <c r="B65" s="5">
        <v>45674.0</v>
      </c>
      <c r="C65" s="4" t="s">
        <v>160</v>
      </c>
      <c r="D65" s="4" t="s">
        <v>42</v>
      </c>
      <c r="E65" s="4" t="s">
        <v>15</v>
      </c>
      <c r="F65" s="4" t="s">
        <v>39</v>
      </c>
      <c r="G65" s="4">
        <v>5.0</v>
      </c>
      <c r="H65" s="6">
        <v>606.5</v>
      </c>
      <c r="I65" s="6">
        <v>3032.5</v>
      </c>
      <c r="J65" s="6">
        <v>2628.61</v>
      </c>
      <c r="K65" s="6">
        <v>403.89</v>
      </c>
      <c r="L65" s="4" t="str">
        <f t="shared" si="1"/>
        <v>Jan-2025</v>
      </c>
    </row>
    <row r="66" ht="15.75" customHeight="1">
      <c r="A66" s="4" t="s">
        <v>161</v>
      </c>
      <c r="B66" s="5">
        <v>45674.0</v>
      </c>
      <c r="C66" s="4" t="s">
        <v>102</v>
      </c>
      <c r="D66" s="4" t="s">
        <v>24</v>
      </c>
      <c r="E66" s="4" t="s">
        <v>25</v>
      </c>
      <c r="F66" s="4" t="s">
        <v>162</v>
      </c>
      <c r="G66" s="4">
        <v>7.0</v>
      </c>
      <c r="H66" s="6">
        <v>17472.81</v>
      </c>
      <c r="I66" s="6">
        <v>122309.67</v>
      </c>
      <c r="J66" s="6">
        <v>92886.78</v>
      </c>
      <c r="K66" s="6">
        <v>29422.89</v>
      </c>
      <c r="L66" s="4" t="str">
        <f t="shared" si="1"/>
        <v>Jan-2025</v>
      </c>
    </row>
    <row r="67" ht="15.75" customHeight="1">
      <c r="A67" s="4" t="s">
        <v>163</v>
      </c>
      <c r="B67" s="5">
        <v>45676.0</v>
      </c>
      <c r="C67" s="4" t="s">
        <v>69</v>
      </c>
      <c r="D67" s="4" t="s">
        <v>19</v>
      </c>
      <c r="E67" s="4" t="s">
        <v>25</v>
      </c>
      <c r="F67" s="4" t="s">
        <v>45</v>
      </c>
      <c r="G67" s="4">
        <v>1.0</v>
      </c>
      <c r="H67" s="6">
        <v>14603.73</v>
      </c>
      <c r="I67" s="6">
        <v>14603.73</v>
      </c>
      <c r="J67" s="6">
        <v>11797.7</v>
      </c>
      <c r="K67" s="6">
        <v>2806.03</v>
      </c>
      <c r="L67" s="4" t="str">
        <f t="shared" si="1"/>
        <v>Jan-2025</v>
      </c>
    </row>
    <row r="68" ht="15.75" customHeight="1">
      <c r="A68" s="4" t="s">
        <v>164</v>
      </c>
      <c r="B68" s="5">
        <v>45677.0</v>
      </c>
      <c r="C68" s="4" t="s">
        <v>140</v>
      </c>
      <c r="D68" s="4" t="s">
        <v>14</v>
      </c>
      <c r="E68" s="4" t="s">
        <v>25</v>
      </c>
      <c r="F68" s="4" t="s">
        <v>165</v>
      </c>
      <c r="G68" s="4">
        <v>3.0</v>
      </c>
      <c r="H68" s="6">
        <v>1001.79</v>
      </c>
      <c r="I68" s="6">
        <v>3005.37</v>
      </c>
      <c r="J68" s="6">
        <v>2189.39</v>
      </c>
      <c r="K68" s="6">
        <v>815.98</v>
      </c>
      <c r="L68" s="4" t="str">
        <f t="shared" si="1"/>
        <v>Jan-2025</v>
      </c>
    </row>
    <row r="69" ht="15.75" customHeight="1">
      <c r="A69" s="4" t="s">
        <v>166</v>
      </c>
      <c r="B69" s="5">
        <v>45677.0</v>
      </c>
      <c r="C69" s="4" t="s">
        <v>47</v>
      </c>
      <c r="D69" s="4" t="s">
        <v>14</v>
      </c>
      <c r="E69" s="4" t="s">
        <v>25</v>
      </c>
      <c r="F69" s="4" t="s">
        <v>167</v>
      </c>
      <c r="G69" s="4">
        <v>4.0</v>
      </c>
      <c r="H69" s="6">
        <v>1284.6</v>
      </c>
      <c r="I69" s="6">
        <v>5138.4</v>
      </c>
      <c r="J69" s="6">
        <v>3841.29</v>
      </c>
      <c r="K69" s="6">
        <v>1297.11</v>
      </c>
      <c r="L69" s="4" t="str">
        <f t="shared" si="1"/>
        <v>Jan-2025</v>
      </c>
    </row>
    <row r="70" ht="15.75" customHeight="1">
      <c r="A70" s="4" t="s">
        <v>168</v>
      </c>
      <c r="B70" s="5">
        <v>45678.0</v>
      </c>
      <c r="C70" s="4" t="s">
        <v>160</v>
      </c>
      <c r="D70" s="4" t="s">
        <v>42</v>
      </c>
      <c r="E70" s="4" t="s">
        <v>29</v>
      </c>
      <c r="F70" s="4" t="s">
        <v>169</v>
      </c>
      <c r="G70" s="4">
        <v>2.0</v>
      </c>
      <c r="H70" s="6">
        <v>1757.86</v>
      </c>
      <c r="I70" s="6">
        <v>3515.72</v>
      </c>
      <c r="J70" s="6">
        <v>3140.6</v>
      </c>
      <c r="K70" s="6">
        <v>375.12</v>
      </c>
      <c r="L70" s="4" t="str">
        <f t="shared" si="1"/>
        <v>Jan-2025</v>
      </c>
    </row>
    <row r="71" ht="15.75" customHeight="1">
      <c r="A71" s="4" t="s">
        <v>170</v>
      </c>
      <c r="B71" s="5">
        <v>45678.0</v>
      </c>
      <c r="C71" s="4" t="s">
        <v>92</v>
      </c>
      <c r="D71" s="4" t="s">
        <v>14</v>
      </c>
      <c r="E71" s="4" t="s">
        <v>15</v>
      </c>
      <c r="F71" s="4" t="s">
        <v>171</v>
      </c>
      <c r="G71" s="4">
        <v>1.0</v>
      </c>
      <c r="H71" s="6">
        <v>1169.19</v>
      </c>
      <c r="I71" s="6">
        <v>1169.19</v>
      </c>
      <c r="J71" s="6">
        <v>848.23</v>
      </c>
      <c r="K71" s="6">
        <v>320.96</v>
      </c>
      <c r="L71" s="4" t="str">
        <f t="shared" si="1"/>
        <v>Jan-2025</v>
      </c>
    </row>
    <row r="72" ht="15.75" customHeight="1">
      <c r="A72" s="4" t="s">
        <v>172</v>
      </c>
      <c r="B72" s="5">
        <v>45678.0</v>
      </c>
      <c r="C72" s="4" t="s">
        <v>92</v>
      </c>
      <c r="D72" s="4" t="s">
        <v>14</v>
      </c>
      <c r="E72" s="4" t="s">
        <v>25</v>
      </c>
      <c r="F72" s="4" t="s">
        <v>173</v>
      </c>
      <c r="G72" s="4">
        <v>4.0</v>
      </c>
      <c r="H72" s="6">
        <v>152.99</v>
      </c>
      <c r="I72" s="6">
        <v>611.96</v>
      </c>
      <c r="J72" s="6">
        <v>466.77</v>
      </c>
      <c r="K72" s="6">
        <v>145.19</v>
      </c>
      <c r="L72" s="4" t="str">
        <f t="shared" si="1"/>
        <v>Jan-2025</v>
      </c>
    </row>
    <row r="73" ht="15.75" customHeight="1">
      <c r="A73" s="4" t="s">
        <v>174</v>
      </c>
      <c r="B73" s="5">
        <v>45678.0</v>
      </c>
      <c r="C73" s="4" t="s">
        <v>69</v>
      </c>
      <c r="D73" s="4" t="s">
        <v>19</v>
      </c>
      <c r="E73" s="4" t="s">
        <v>29</v>
      </c>
      <c r="F73" s="4" t="s">
        <v>175</v>
      </c>
      <c r="G73" s="4">
        <v>7.0</v>
      </c>
      <c r="H73" s="6">
        <v>67479.01</v>
      </c>
      <c r="I73" s="6">
        <v>472353.07</v>
      </c>
      <c r="J73" s="6">
        <v>425246.66</v>
      </c>
      <c r="K73" s="6">
        <v>47106.41</v>
      </c>
      <c r="L73" s="4" t="str">
        <f t="shared" si="1"/>
        <v>Jan-2025</v>
      </c>
    </row>
    <row r="74" ht="15.75" customHeight="1">
      <c r="A74" s="4" t="s">
        <v>176</v>
      </c>
      <c r="B74" s="5">
        <v>45678.0</v>
      </c>
      <c r="C74" s="4" t="s">
        <v>32</v>
      </c>
      <c r="D74" s="4" t="s">
        <v>19</v>
      </c>
      <c r="E74" s="4" t="s">
        <v>25</v>
      </c>
      <c r="F74" s="4" t="s">
        <v>103</v>
      </c>
      <c r="G74" s="4">
        <v>3.0</v>
      </c>
      <c r="H74" s="6">
        <v>50281.51</v>
      </c>
      <c r="I74" s="6">
        <v>150844.53</v>
      </c>
      <c r="J74" s="6">
        <v>123873.96</v>
      </c>
      <c r="K74" s="6">
        <v>26970.57</v>
      </c>
      <c r="L74" s="4" t="str">
        <f t="shared" si="1"/>
        <v>Jan-2025</v>
      </c>
    </row>
    <row r="75" ht="15.75" customHeight="1">
      <c r="A75" s="4" t="s">
        <v>177</v>
      </c>
      <c r="B75" s="5">
        <v>45678.0</v>
      </c>
      <c r="C75" s="4" t="s">
        <v>23</v>
      </c>
      <c r="D75" s="4" t="s">
        <v>24</v>
      </c>
      <c r="E75" s="4" t="s">
        <v>29</v>
      </c>
      <c r="F75" s="4" t="s">
        <v>178</v>
      </c>
      <c r="G75" s="4">
        <v>2.0</v>
      </c>
      <c r="H75" s="6">
        <v>3571.02</v>
      </c>
      <c r="I75" s="6">
        <v>7142.04</v>
      </c>
      <c r="J75" s="6">
        <v>5796.49</v>
      </c>
      <c r="K75" s="6">
        <v>1345.55</v>
      </c>
      <c r="L75" s="4" t="str">
        <f t="shared" si="1"/>
        <v>Jan-2025</v>
      </c>
    </row>
    <row r="76" ht="15.75" customHeight="1">
      <c r="A76" s="4" t="s">
        <v>179</v>
      </c>
      <c r="B76" s="5">
        <v>45678.0</v>
      </c>
      <c r="C76" s="4" t="s">
        <v>180</v>
      </c>
      <c r="D76" s="4" t="s">
        <v>19</v>
      </c>
      <c r="E76" s="4" t="s">
        <v>15</v>
      </c>
      <c r="F76" s="4" t="s">
        <v>181</v>
      </c>
      <c r="G76" s="4">
        <v>3.0</v>
      </c>
      <c r="H76" s="6">
        <v>23413.26</v>
      </c>
      <c r="I76" s="6">
        <v>70239.78</v>
      </c>
      <c r="J76" s="6">
        <v>63088.18</v>
      </c>
      <c r="K76" s="6">
        <v>7151.6</v>
      </c>
      <c r="L76" s="4" t="str">
        <f t="shared" si="1"/>
        <v>Jan-2025</v>
      </c>
    </row>
    <row r="77" ht="15.75" customHeight="1">
      <c r="A77" s="4" t="s">
        <v>182</v>
      </c>
      <c r="B77" s="5">
        <v>45679.0</v>
      </c>
      <c r="C77" s="4" t="s">
        <v>35</v>
      </c>
      <c r="D77" s="4" t="s">
        <v>14</v>
      </c>
      <c r="E77" s="4" t="s">
        <v>15</v>
      </c>
      <c r="F77" s="4" t="s">
        <v>55</v>
      </c>
      <c r="G77" s="4">
        <v>1.0</v>
      </c>
      <c r="H77" s="6">
        <v>588.34</v>
      </c>
      <c r="I77" s="6">
        <v>588.34</v>
      </c>
      <c r="J77" s="6">
        <v>488.76</v>
      </c>
      <c r="K77" s="6">
        <v>99.58</v>
      </c>
      <c r="L77" s="4" t="str">
        <f t="shared" si="1"/>
        <v>Jan-2025</v>
      </c>
    </row>
    <row r="78" ht="15.75" customHeight="1">
      <c r="A78" s="4" t="s">
        <v>183</v>
      </c>
      <c r="B78" s="5">
        <v>45679.0</v>
      </c>
      <c r="C78" s="4" t="s">
        <v>13</v>
      </c>
      <c r="D78" s="4" t="s">
        <v>14</v>
      </c>
      <c r="E78" s="4" t="s">
        <v>15</v>
      </c>
      <c r="F78" s="4" t="s">
        <v>184</v>
      </c>
      <c r="G78" s="4">
        <v>5.0</v>
      </c>
      <c r="H78" s="6">
        <v>288.98</v>
      </c>
      <c r="I78" s="6">
        <v>1444.9</v>
      </c>
      <c r="J78" s="6">
        <v>1027.29</v>
      </c>
      <c r="K78" s="6">
        <v>417.61</v>
      </c>
      <c r="L78" s="4" t="str">
        <f t="shared" si="1"/>
        <v>Jan-2025</v>
      </c>
    </row>
    <row r="79" ht="15.75" customHeight="1">
      <c r="A79" s="4" t="s">
        <v>185</v>
      </c>
      <c r="B79" s="5">
        <v>45679.0</v>
      </c>
      <c r="C79" s="4" t="s">
        <v>35</v>
      </c>
      <c r="D79" s="4" t="s">
        <v>14</v>
      </c>
      <c r="E79" s="4" t="s">
        <v>25</v>
      </c>
      <c r="F79" s="4" t="s">
        <v>186</v>
      </c>
      <c r="G79" s="4">
        <v>3.0</v>
      </c>
      <c r="H79" s="6">
        <v>109.09</v>
      </c>
      <c r="I79" s="6">
        <v>327.27</v>
      </c>
      <c r="J79" s="6">
        <v>237.85</v>
      </c>
      <c r="K79" s="6">
        <v>89.42</v>
      </c>
      <c r="L79" s="4" t="str">
        <f t="shared" si="1"/>
        <v>Jan-2025</v>
      </c>
    </row>
    <row r="80" ht="15.75" customHeight="1">
      <c r="A80" s="4" t="s">
        <v>187</v>
      </c>
      <c r="B80" s="5">
        <v>45679.0</v>
      </c>
      <c r="C80" s="4" t="s">
        <v>160</v>
      </c>
      <c r="D80" s="4" t="s">
        <v>42</v>
      </c>
      <c r="E80" s="4" t="s">
        <v>29</v>
      </c>
      <c r="F80" s="4" t="s">
        <v>51</v>
      </c>
      <c r="G80" s="4">
        <v>5.0</v>
      </c>
      <c r="H80" s="6">
        <v>4346.89</v>
      </c>
      <c r="I80" s="6">
        <v>21734.45</v>
      </c>
      <c r="J80" s="6">
        <v>17680.02</v>
      </c>
      <c r="K80" s="6">
        <v>4054.43</v>
      </c>
      <c r="L80" s="4" t="str">
        <f t="shared" si="1"/>
        <v>Jan-2025</v>
      </c>
    </row>
    <row r="81" ht="15.75" customHeight="1">
      <c r="A81" s="4" t="s">
        <v>188</v>
      </c>
      <c r="B81" s="5">
        <v>45679.0</v>
      </c>
      <c r="C81" s="4" t="s">
        <v>41</v>
      </c>
      <c r="D81" s="4" t="s">
        <v>42</v>
      </c>
      <c r="E81" s="4" t="s">
        <v>20</v>
      </c>
      <c r="F81" s="4" t="s">
        <v>189</v>
      </c>
      <c r="G81" s="4">
        <v>6.0</v>
      </c>
      <c r="H81" s="6">
        <v>3959.83</v>
      </c>
      <c r="I81" s="6">
        <v>23758.98</v>
      </c>
      <c r="J81" s="6">
        <v>19232.2</v>
      </c>
      <c r="K81" s="6">
        <v>4526.78</v>
      </c>
      <c r="L81" s="4" t="str">
        <f t="shared" si="1"/>
        <v>Jan-2025</v>
      </c>
    </row>
    <row r="82" ht="15.75" customHeight="1">
      <c r="A82" s="4" t="s">
        <v>190</v>
      </c>
      <c r="B82" s="5">
        <v>45680.0</v>
      </c>
      <c r="C82" s="4" t="s">
        <v>75</v>
      </c>
      <c r="D82" s="4" t="s">
        <v>24</v>
      </c>
      <c r="E82" s="4" t="s">
        <v>25</v>
      </c>
      <c r="F82" s="4" t="s">
        <v>76</v>
      </c>
      <c r="G82" s="4">
        <v>6.0</v>
      </c>
      <c r="H82" s="6">
        <v>3250.95</v>
      </c>
      <c r="I82" s="6">
        <v>19505.7</v>
      </c>
      <c r="J82" s="6">
        <v>15399.37</v>
      </c>
      <c r="K82" s="6">
        <v>4106.33</v>
      </c>
      <c r="L82" s="4" t="str">
        <f t="shared" si="1"/>
        <v>Jan-2025</v>
      </c>
    </row>
    <row r="83" ht="15.75" customHeight="1">
      <c r="A83" s="4" t="s">
        <v>191</v>
      </c>
      <c r="B83" s="5">
        <v>45680.0</v>
      </c>
      <c r="C83" s="4" t="s">
        <v>38</v>
      </c>
      <c r="D83" s="4" t="s">
        <v>19</v>
      </c>
      <c r="E83" s="4" t="s">
        <v>25</v>
      </c>
      <c r="F83" s="4" t="s">
        <v>116</v>
      </c>
      <c r="G83" s="4">
        <v>7.0</v>
      </c>
      <c r="H83" s="6">
        <v>4801.8</v>
      </c>
      <c r="I83" s="6">
        <v>33612.6</v>
      </c>
      <c r="J83" s="6">
        <v>28840.1</v>
      </c>
      <c r="K83" s="6">
        <v>4772.5</v>
      </c>
      <c r="L83" s="4" t="str">
        <f t="shared" si="1"/>
        <v>Jan-2025</v>
      </c>
    </row>
    <row r="84" ht="15.75" customHeight="1">
      <c r="A84" s="4" t="s">
        <v>192</v>
      </c>
      <c r="B84" s="5">
        <v>45681.0</v>
      </c>
      <c r="C84" s="4" t="s">
        <v>160</v>
      </c>
      <c r="D84" s="4" t="s">
        <v>42</v>
      </c>
      <c r="E84" s="4" t="s">
        <v>15</v>
      </c>
      <c r="F84" s="4" t="s">
        <v>99</v>
      </c>
      <c r="G84" s="4">
        <v>7.0</v>
      </c>
      <c r="H84" s="6">
        <v>1098.2</v>
      </c>
      <c r="I84" s="6">
        <v>7687.4</v>
      </c>
      <c r="J84" s="6">
        <v>6484.09</v>
      </c>
      <c r="K84" s="6">
        <v>1203.31</v>
      </c>
      <c r="L84" s="4" t="str">
        <f t="shared" si="1"/>
        <v>Jan-2025</v>
      </c>
    </row>
    <row r="85" ht="15.75" customHeight="1">
      <c r="A85" s="4" t="s">
        <v>193</v>
      </c>
      <c r="B85" s="5">
        <v>45681.0</v>
      </c>
      <c r="C85" s="4" t="s">
        <v>35</v>
      </c>
      <c r="D85" s="4" t="s">
        <v>14</v>
      </c>
      <c r="E85" s="4" t="s">
        <v>29</v>
      </c>
      <c r="F85" s="4" t="s">
        <v>67</v>
      </c>
      <c r="G85" s="4">
        <v>7.0</v>
      </c>
      <c r="H85" s="6">
        <v>919.83</v>
      </c>
      <c r="I85" s="6">
        <v>6438.81</v>
      </c>
      <c r="J85" s="6">
        <v>5411.69</v>
      </c>
      <c r="K85" s="6">
        <v>1027.12</v>
      </c>
      <c r="L85" s="4" t="str">
        <f t="shared" si="1"/>
        <v>Jan-2025</v>
      </c>
    </row>
    <row r="86" ht="15.75" customHeight="1">
      <c r="A86" s="4" t="s">
        <v>194</v>
      </c>
      <c r="B86" s="5">
        <v>45681.0</v>
      </c>
      <c r="C86" s="4" t="s">
        <v>38</v>
      </c>
      <c r="D86" s="4" t="s">
        <v>19</v>
      </c>
      <c r="E86" s="4" t="s">
        <v>29</v>
      </c>
      <c r="F86" s="4" t="s">
        <v>195</v>
      </c>
      <c r="G86" s="4">
        <v>7.0</v>
      </c>
      <c r="H86" s="6">
        <v>65986.98</v>
      </c>
      <c r="I86" s="6">
        <v>461908.86</v>
      </c>
      <c r="J86" s="6">
        <v>408225.74</v>
      </c>
      <c r="K86" s="6">
        <v>53683.12</v>
      </c>
      <c r="L86" s="4" t="str">
        <f t="shared" si="1"/>
        <v>Jan-2025</v>
      </c>
    </row>
    <row r="87" ht="15.75" customHeight="1">
      <c r="A87" s="4" t="s">
        <v>196</v>
      </c>
      <c r="B87" s="5">
        <v>45681.0</v>
      </c>
      <c r="C87" s="4" t="s">
        <v>109</v>
      </c>
      <c r="D87" s="4" t="s">
        <v>42</v>
      </c>
      <c r="E87" s="4" t="s">
        <v>29</v>
      </c>
      <c r="F87" s="4" t="s">
        <v>197</v>
      </c>
      <c r="G87" s="4">
        <v>1.0</v>
      </c>
      <c r="H87" s="6">
        <v>3445.32</v>
      </c>
      <c r="I87" s="6">
        <v>3445.32</v>
      </c>
      <c r="J87" s="6">
        <v>2772.96</v>
      </c>
      <c r="K87" s="6">
        <v>672.36</v>
      </c>
      <c r="L87" s="4" t="str">
        <f t="shared" si="1"/>
        <v>Jan-2025</v>
      </c>
    </row>
    <row r="88" ht="15.75" customHeight="1">
      <c r="A88" s="4" t="s">
        <v>198</v>
      </c>
      <c r="B88" s="5">
        <v>45683.0</v>
      </c>
      <c r="C88" s="4" t="s">
        <v>35</v>
      </c>
      <c r="D88" s="4" t="s">
        <v>14</v>
      </c>
      <c r="E88" s="4" t="s">
        <v>20</v>
      </c>
      <c r="F88" s="4" t="s">
        <v>199</v>
      </c>
      <c r="G88" s="4">
        <v>2.0</v>
      </c>
      <c r="H88" s="6">
        <v>1495.83</v>
      </c>
      <c r="I88" s="6">
        <v>2991.66</v>
      </c>
      <c r="J88" s="6">
        <v>2459.69</v>
      </c>
      <c r="K88" s="6">
        <v>531.97</v>
      </c>
      <c r="L88" s="4" t="str">
        <f t="shared" si="1"/>
        <v>Jan-2025</v>
      </c>
    </row>
    <row r="89" ht="15.75" customHeight="1">
      <c r="A89" s="4" t="s">
        <v>200</v>
      </c>
      <c r="B89" s="5">
        <v>45683.0</v>
      </c>
      <c r="C89" s="4" t="s">
        <v>61</v>
      </c>
      <c r="D89" s="4" t="s">
        <v>19</v>
      </c>
      <c r="E89" s="4" t="s">
        <v>20</v>
      </c>
      <c r="F89" s="4" t="s">
        <v>201</v>
      </c>
      <c r="G89" s="4">
        <v>6.0</v>
      </c>
      <c r="H89" s="6">
        <v>5632.98</v>
      </c>
      <c r="I89" s="6">
        <v>33797.88</v>
      </c>
      <c r="J89" s="6">
        <v>29332.97</v>
      </c>
      <c r="K89" s="6">
        <v>4464.91</v>
      </c>
      <c r="L89" s="4" t="str">
        <f t="shared" si="1"/>
        <v>Jan-2025</v>
      </c>
    </row>
    <row r="90" ht="15.75" customHeight="1">
      <c r="A90" s="4" t="s">
        <v>202</v>
      </c>
      <c r="B90" s="5">
        <v>45684.0</v>
      </c>
      <c r="C90" s="4" t="s">
        <v>50</v>
      </c>
      <c r="D90" s="4" t="s">
        <v>42</v>
      </c>
      <c r="E90" s="4" t="s">
        <v>25</v>
      </c>
      <c r="F90" s="4" t="s">
        <v>203</v>
      </c>
      <c r="G90" s="4">
        <v>6.0</v>
      </c>
      <c r="H90" s="6">
        <v>973.28</v>
      </c>
      <c r="I90" s="6">
        <v>5839.68</v>
      </c>
      <c r="J90" s="6">
        <v>4512.54</v>
      </c>
      <c r="K90" s="6">
        <v>1327.14</v>
      </c>
      <c r="L90" s="4" t="str">
        <f t="shared" si="1"/>
        <v>Jan-2025</v>
      </c>
    </row>
    <row r="91" ht="15.75" customHeight="1">
      <c r="A91" s="4" t="s">
        <v>204</v>
      </c>
      <c r="B91" s="5">
        <v>45684.0</v>
      </c>
      <c r="C91" s="4" t="s">
        <v>41</v>
      </c>
      <c r="D91" s="4" t="s">
        <v>42</v>
      </c>
      <c r="E91" s="4" t="s">
        <v>29</v>
      </c>
      <c r="F91" s="4" t="s">
        <v>205</v>
      </c>
      <c r="G91" s="4">
        <v>6.0</v>
      </c>
      <c r="H91" s="6">
        <v>3296.5</v>
      </c>
      <c r="I91" s="6">
        <v>19779.0</v>
      </c>
      <c r="J91" s="6">
        <v>16320.07</v>
      </c>
      <c r="K91" s="6">
        <v>3458.93</v>
      </c>
      <c r="L91" s="4" t="str">
        <f t="shared" si="1"/>
        <v>Jan-2025</v>
      </c>
    </row>
    <row r="92" ht="15.75" customHeight="1">
      <c r="A92" s="4" t="s">
        <v>206</v>
      </c>
      <c r="B92" s="5">
        <v>45684.0</v>
      </c>
      <c r="C92" s="4" t="s">
        <v>66</v>
      </c>
      <c r="D92" s="4" t="s">
        <v>42</v>
      </c>
      <c r="E92" s="4" t="s">
        <v>25</v>
      </c>
      <c r="F92" s="4" t="s">
        <v>207</v>
      </c>
      <c r="G92" s="4">
        <v>2.0</v>
      </c>
      <c r="H92" s="6">
        <v>235.82</v>
      </c>
      <c r="I92" s="6">
        <v>471.64</v>
      </c>
      <c r="J92" s="6">
        <v>372.67</v>
      </c>
      <c r="K92" s="6">
        <v>98.97</v>
      </c>
      <c r="L92" s="4" t="str">
        <f t="shared" si="1"/>
        <v>Jan-2025</v>
      </c>
    </row>
    <row r="93" ht="15.75" customHeight="1">
      <c r="A93" s="4" t="s">
        <v>208</v>
      </c>
      <c r="B93" s="5">
        <v>45684.0</v>
      </c>
      <c r="C93" s="4" t="s">
        <v>75</v>
      </c>
      <c r="D93" s="4" t="s">
        <v>24</v>
      </c>
      <c r="E93" s="4" t="s">
        <v>29</v>
      </c>
      <c r="F93" s="4" t="s">
        <v>88</v>
      </c>
      <c r="G93" s="4">
        <v>1.0</v>
      </c>
      <c r="H93" s="6">
        <v>3840.09</v>
      </c>
      <c r="I93" s="6">
        <v>3840.09</v>
      </c>
      <c r="J93" s="6">
        <v>2905.07</v>
      </c>
      <c r="K93" s="6">
        <v>935.02</v>
      </c>
      <c r="L93" s="4" t="str">
        <f t="shared" si="1"/>
        <v>Jan-2025</v>
      </c>
    </row>
    <row r="94" ht="15.75" customHeight="1">
      <c r="A94" s="4" t="s">
        <v>209</v>
      </c>
      <c r="B94" s="5">
        <v>45684.0</v>
      </c>
      <c r="C94" s="4" t="s">
        <v>140</v>
      </c>
      <c r="D94" s="4" t="s">
        <v>14</v>
      </c>
      <c r="E94" s="4" t="s">
        <v>20</v>
      </c>
      <c r="F94" s="4" t="s">
        <v>210</v>
      </c>
      <c r="G94" s="4">
        <v>1.0</v>
      </c>
      <c r="H94" s="6">
        <v>79.02</v>
      </c>
      <c r="I94" s="6">
        <v>79.02</v>
      </c>
      <c r="J94" s="6">
        <v>66.97</v>
      </c>
      <c r="K94" s="6">
        <v>12.05</v>
      </c>
      <c r="L94" s="4" t="str">
        <f t="shared" si="1"/>
        <v>Jan-2025</v>
      </c>
    </row>
    <row r="95" ht="15.75" customHeight="1">
      <c r="A95" s="4" t="s">
        <v>211</v>
      </c>
      <c r="B95" s="5">
        <v>45685.0</v>
      </c>
      <c r="C95" s="4" t="s">
        <v>75</v>
      </c>
      <c r="D95" s="4" t="s">
        <v>24</v>
      </c>
      <c r="E95" s="4" t="s">
        <v>25</v>
      </c>
      <c r="F95" s="4" t="s">
        <v>82</v>
      </c>
      <c r="G95" s="4">
        <v>2.0</v>
      </c>
      <c r="H95" s="6">
        <v>4719.4</v>
      </c>
      <c r="I95" s="6">
        <v>9438.8</v>
      </c>
      <c r="J95" s="6">
        <v>7610.96</v>
      </c>
      <c r="K95" s="6">
        <v>1827.84</v>
      </c>
      <c r="L95" s="4" t="str">
        <f t="shared" si="1"/>
        <v>Jan-2025</v>
      </c>
    </row>
    <row r="96" ht="15.75" customHeight="1">
      <c r="A96" s="4" t="s">
        <v>212</v>
      </c>
      <c r="B96" s="5">
        <v>45685.0</v>
      </c>
      <c r="C96" s="4" t="s">
        <v>72</v>
      </c>
      <c r="D96" s="4" t="s">
        <v>24</v>
      </c>
      <c r="E96" s="4" t="s">
        <v>25</v>
      </c>
      <c r="F96" s="4" t="s">
        <v>213</v>
      </c>
      <c r="G96" s="4">
        <v>2.0</v>
      </c>
      <c r="H96" s="6">
        <v>13631.25</v>
      </c>
      <c r="I96" s="6">
        <v>27262.5</v>
      </c>
      <c r="J96" s="6">
        <v>22889.87</v>
      </c>
      <c r="K96" s="6">
        <v>4372.63</v>
      </c>
      <c r="L96" s="4" t="str">
        <f t="shared" si="1"/>
        <v>Jan-2025</v>
      </c>
    </row>
    <row r="97" ht="15.75" customHeight="1">
      <c r="A97" s="4" t="s">
        <v>214</v>
      </c>
      <c r="B97" s="5">
        <v>45685.0</v>
      </c>
      <c r="C97" s="4" t="s">
        <v>47</v>
      </c>
      <c r="D97" s="4" t="s">
        <v>14</v>
      </c>
      <c r="E97" s="4" t="s">
        <v>15</v>
      </c>
      <c r="F97" s="4" t="s">
        <v>215</v>
      </c>
      <c r="G97" s="4">
        <v>5.0</v>
      </c>
      <c r="H97" s="6">
        <v>919.59</v>
      </c>
      <c r="I97" s="6">
        <v>4597.95</v>
      </c>
      <c r="J97" s="6">
        <v>3645.0</v>
      </c>
      <c r="K97" s="6">
        <v>952.95</v>
      </c>
      <c r="L97" s="4" t="str">
        <f t="shared" si="1"/>
        <v>Jan-2025</v>
      </c>
    </row>
    <row r="98" ht="15.75" customHeight="1">
      <c r="A98" s="4" t="s">
        <v>216</v>
      </c>
      <c r="B98" s="5">
        <v>45685.0</v>
      </c>
      <c r="C98" s="4" t="s">
        <v>72</v>
      </c>
      <c r="D98" s="4" t="s">
        <v>24</v>
      </c>
      <c r="E98" s="4" t="s">
        <v>25</v>
      </c>
      <c r="F98" s="4" t="s">
        <v>217</v>
      </c>
      <c r="G98" s="4">
        <v>6.0</v>
      </c>
      <c r="H98" s="6">
        <v>14679.74</v>
      </c>
      <c r="I98" s="6">
        <v>88078.44</v>
      </c>
      <c r="J98" s="6">
        <v>63830.8</v>
      </c>
      <c r="K98" s="6">
        <v>24247.64</v>
      </c>
      <c r="L98" s="4" t="str">
        <f t="shared" si="1"/>
        <v>Jan-2025</v>
      </c>
    </row>
    <row r="99" ht="15.75" customHeight="1">
      <c r="A99" s="4" t="s">
        <v>218</v>
      </c>
      <c r="B99" s="5">
        <v>45686.0</v>
      </c>
      <c r="C99" s="4" t="s">
        <v>180</v>
      </c>
      <c r="D99" s="4" t="s">
        <v>19</v>
      </c>
      <c r="E99" s="4" t="s">
        <v>25</v>
      </c>
      <c r="F99" s="4" t="s">
        <v>219</v>
      </c>
      <c r="G99" s="4">
        <v>2.0</v>
      </c>
      <c r="H99" s="6">
        <v>4862.08</v>
      </c>
      <c r="I99" s="6">
        <v>9724.16</v>
      </c>
      <c r="J99" s="6">
        <v>8531.96</v>
      </c>
      <c r="K99" s="6">
        <v>1192.2</v>
      </c>
      <c r="L99" s="4" t="str">
        <f t="shared" si="1"/>
        <v>Jan-2025</v>
      </c>
    </row>
    <row r="100" ht="15.75" customHeight="1">
      <c r="A100" s="4" t="s">
        <v>220</v>
      </c>
      <c r="B100" s="5">
        <v>45686.0</v>
      </c>
      <c r="C100" s="4" t="s">
        <v>32</v>
      </c>
      <c r="D100" s="4" t="s">
        <v>19</v>
      </c>
      <c r="E100" s="4" t="s">
        <v>25</v>
      </c>
      <c r="F100" s="4" t="s">
        <v>33</v>
      </c>
      <c r="G100" s="4">
        <v>4.0</v>
      </c>
      <c r="H100" s="6">
        <v>15267.16</v>
      </c>
      <c r="I100" s="6">
        <v>61068.64</v>
      </c>
      <c r="J100" s="6">
        <v>49658.02</v>
      </c>
      <c r="K100" s="6">
        <v>11410.62</v>
      </c>
      <c r="L100" s="4" t="str">
        <f t="shared" si="1"/>
        <v>Jan-2025</v>
      </c>
    </row>
    <row r="101" ht="15.75" customHeight="1">
      <c r="A101" s="4" t="s">
        <v>221</v>
      </c>
      <c r="B101" s="5">
        <v>45686.0</v>
      </c>
      <c r="C101" s="4" t="s">
        <v>180</v>
      </c>
      <c r="D101" s="4" t="s">
        <v>19</v>
      </c>
      <c r="E101" s="4" t="s">
        <v>29</v>
      </c>
      <c r="F101" s="4" t="s">
        <v>158</v>
      </c>
      <c r="G101" s="4">
        <v>7.0</v>
      </c>
      <c r="H101" s="6">
        <v>36071.64</v>
      </c>
      <c r="I101" s="6">
        <v>252501.48</v>
      </c>
      <c r="J101" s="6">
        <v>221286.81</v>
      </c>
      <c r="K101" s="6">
        <v>31214.67</v>
      </c>
      <c r="L101" s="4" t="str">
        <f t="shared" si="1"/>
        <v>Jan-2025</v>
      </c>
    </row>
    <row r="102" ht="15.75" customHeight="1">
      <c r="A102" s="4" t="s">
        <v>222</v>
      </c>
      <c r="B102" s="5">
        <v>45687.0</v>
      </c>
      <c r="C102" s="4" t="s">
        <v>23</v>
      </c>
      <c r="D102" s="4" t="s">
        <v>24</v>
      </c>
      <c r="E102" s="4" t="s">
        <v>25</v>
      </c>
      <c r="F102" s="4" t="s">
        <v>223</v>
      </c>
      <c r="G102" s="4">
        <v>2.0</v>
      </c>
      <c r="H102" s="6">
        <v>7693.38</v>
      </c>
      <c r="I102" s="6">
        <v>15386.76</v>
      </c>
      <c r="J102" s="6">
        <v>11402.06</v>
      </c>
      <c r="K102" s="6">
        <v>3984.7</v>
      </c>
      <c r="L102" s="4" t="str">
        <f t="shared" si="1"/>
        <v>Jan-2025</v>
      </c>
    </row>
    <row r="103" ht="15.75" customHeight="1">
      <c r="A103" s="4" t="s">
        <v>224</v>
      </c>
      <c r="B103" s="5">
        <v>45688.0</v>
      </c>
      <c r="C103" s="4" t="s">
        <v>47</v>
      </c>
      <c r="D103" s="4" t="s">
        <v>14</v>
      </c>
      <c r="E103" s="4" t="s">
        <v>29</v>
      </c>
      <c r="F103" s="4" t="s">
        <v>225</v>
      </c>
      <c r="G103" s="4">
        <v>7.0</v>
      </c>
      <c r="H103" s="6">
        <v>1307.05</v>
      </c>
      <c r="I103" s="6">
        <v>9149.35</v>
      </c>
      <c r="J103" s="6">
        <v>6914.24</v>
      </c>
      <c r="K103" s="6">
        <v>2235.11</v>
      </c>
      <c r="L103" s="4" t="str">
        <f t="shared" si="1"/>
        <v>Jan-2025</v>
      </c>
    </row>
    <row r="104" ht="15.75" customHeight="1">
      <c r="A104" s="4" t="s">
        <v>226</v>
      </c>
      <c r="B104" s="5">
        <v>45688.0</v>
      </c>
      <c r="C104" s="4" t="s">
        <v>23</v>
      </c>
      <c r="D104" s="4" t="s">
        <v>24</v>
      </c>
      <c r="E104" s="4" t="s">
        <v>20</v>
      </c>
      <c r="F104" s="4" t="s">
        <v>227</v>
      </c>
      <c r="G104" s="4">
        <v>6.0</v>
      </c>
      <c r="H104" s="6">
        <v>1267.88</v>
      </c>
      <c r="I104" s="6">
        <v>7607.28</v>
      </c>
      <c r="J104" s="6">
        <v>5907.36</v>
      </c>
      <c r="K104" s="6">
        <v>1699.92</v>
      </c>
      <c r="L104" s="4" t="str">
        <f t="shared" si="1"/>
        <v>Jan-2025</v>
      </c>
    </row>
    <row r="105" ht="15.75" customHeight="1">
      <c r="A105" s="4" t="s">
        <v>228</v>
      </c>
      <c r="B105" s="5">
        <v>45688.0</v>
      </c>
      <c r="C105" s="4" t="s">
        <v>92</v>
      </c>
      <c r="D105" s="4" t="s">
        <v>14</v>
      </c>
      <c r="E105" s="4" t="s">
        <v>20</v>
      </c>
      <c r="F105" s="4" t="s">
        <v>229</v>
      </c>
      <c r="G105" s="4">
        <v>3.0</v>
      </c>
      <c r="H105" s="6">
        <v>465.08</v>
      </c>
      <c r="I105" s="6">
        <v>1395.24</v>
      </c>
      <c r="J105" s="6">
        <v>1180.1</v>
      </c>
      <c r="K105" s="6">
        <v>215.14</v>
      </c>
      <c r="L105" s="4" t="str">
        <f t="shared" si="1"/>
        <v>Jan-2025</v>
      </c>
    </row>
    <row r="106" ht="15.75" customHeight="1">
      <c r="A106" s="4" t="s">
        <v>230</v>
      </c>
      <c r="B106" s="5">
        <v>45688.0</v>
      </c>
      <c r="C106" s="4" t="s">
        <v>66</v>
      </c>
      <c r="D106" s="4" t="s">
        <v>42</v>
      </c>
      <c r="E106" s="4" t="s">
        <v>25</v>
      </c>
      <c r="F106" s="4" t="s">
        <v>201</v>
      </c>
      <c r="G106" s="4">
        <v>4.0</v>
      </c>
      <c r="H106" s="6">
        <v>1644.57</v>
      </c>
      <c r="I106" s="6">
        <v>6578.28</v>
      </c>
      <c r="J106" s="6">
        <v>5568.79</v>
      </c>
      <c r="K106" s="6">
        <v>1009.49</v>
      </c>
      <c r="L106" s="4" t="str">
        <f t="shared" si="1"/>
        <v>Jan-2025</v>
      </c>
    </row>
    <row r="107" ht="15.75" customHeight="1">
      <c r="A107" s="4" t="s">
        <v>231</v>
      </c>
      <c r="B107" s="5">
        <v>45688.0</v>
      </c>
      <c r="C107" s="4" t="s">
        <v>32</v>
      </c>
      <c r="D107" s="4" t="s">
        <v>19</v>
      </c>
      <c r="E107" s="4" t="s">
        <v>25</v>
      </c>
      <c r="F107" s="4" t="s">
        <v>95</v>
      </c>
      <c r="G107" s="4">
        <v>1.0</v>
      </c>
      <c r="H107" s="6">
        <v>1839.88</v>
      </c>
      <c r="I107" s="6">
        <v>1839.88</v>
      </c>
      <c r="J107" s="6">
        <v>1567.54</v>
      </c>
      <c r="K107" s="6">
        <v>272.34</v>
      </c>
      <c r="L107" s="4" t="str">
        <f t="shared" si="1"/>
        <v>Jan-2025</v>
      </c>
    </row>
    <row r="108" ht="15.75" customHeight="1">
      <c r="A108" s="4" t="s">
        <v>232</v>
      </c>
      <c r="B108" s="5">
        <v>45688.0</v>
      </c>
      <c r="C108" s="4" t="s">
        <v>38</v>
      </c>
      <c r="D108" s="4" t="s">
        <v>19</v>
      </c>
      <c r="E108" s="4" t="s">
        <v>20</v>
      </c>
      <c r="F108" s="4" t="s">
        <v>233</v>
      </c>
      <c r="G108" s="4">
        <v>4.0</v>
      </c>
      <c r="H108" s="6">
        <v>41381.19</v>
      </c>
      <c r="I108" s="6">
        <v>165524.76</v>
      </c>
      <c r="J108" s="6">
        <v>148565.38</v>
      </c>
      <c r="K108" s="6">
        <v>16959.38</v>
      </c>
      <c r="L108" s="4" t="str">
        <f t="shared" si="1"/>
        <v>Jan-2025</v>
      </c>
    </row>
    <row r="109" ht="15.75" customHeight="1">
      <c r="A109" s="4" t="s">
        <v>234</v>
      </c>
      <c r="B109" s="5">
        <v>45689.0</v>
      </c>
      <c r="C109" s="4" t="s">
        <v>102</v>
      </c>
      <c r="D109" s="4" t="s">
        <v>24</v>
      </c>
      <c r="E109" s="4" t="s">
        <v>25</v>
      </c>
      <c r="F109" s="4" t="s">
        <v>133</v>
      </c>
      <c r="G109" s="4">
        <v>4.0</v>
      </c>
      <c r="H109" s="6">
        <v>7349.34</v>
      </c>
      <c r="I109" s="6">
        <v>29397.36</v>
      </c>
      <c r="J109" s="6">
        <v>21923.39</v>
      </c>
      <c r="K109" s="6">
        <v>7473.97</v>
      </c>
      <c r="L109" s="4" t="str">
        <f t="shared" si="1"/>
        <v>Feb-2025</v>
      </c>
    </row>
    <row r="110" ht="15.75" customHeight="1">
      <c r="A110" s="4" t="s">
        <v>235</v>
      </c>
      <c r="B110" s="5">
        <v>45690.0</v>
      </c>
      <c r="C110" s="4" t="s">
        <v>102</v>
      </c>
      <c r="D110" s="4" t="s">
        <v>24</v>
      </c>
      <c r="E110" s="4" t="s">
        <v>25</v>
      </c>
      <c r="F110" s="4" t="s">
        <v>236</v>
      </c>
      <c r="G110" s="4">
        <v>4.0</v>
      </c>
      <c r="H110" s="6">
        <v>16260.54</v>
      </c>
      <c r="I110" s="6">
        <v>65042.16</v>
      </c>
      <c r="J110" s="6">
        <v>53047.23</v>
      </c>
      <c r="K110" s="6">
        <v>11994.93</v>
      </c>
      <c r="L110" s="4" t="str">
        <f t="shared" si="1"/>
        <v>Feb-2025</v>
      </c>
    </row>
    <row r="111" ht="15.75" customHeight="1">
      <c r="A111" s="4" t="s">
        <v>237</v>
      </c>
      <c r="B111" s="5">
        <v>45690.0</v>
      </c>
      <c r="C111" s="4" t="s">
        <v>23</v>
      </c>
      <c r="D111" s="4" t="s">
        <v>24</v>
      </c>
      <c r="E111" s="4" t="s">
        <v>25</v>
      </c>
      <c r="F111" s="4" t="s">
        <v>238</v>
      </c>
      <c r="G111" s="4">
        <v>3.0</v>
      </c>
      <c r="H111" s="6">
        <v>16857.36</v>
      </c>
      <c r="I111" s="6">
        <v>50572.08</v>
      </c>
      <c r="J111" s="6">
        <v>43314.83</v>
      </c>
      <c r="K111" s="6">
        <v>7257.25</v>
      </c>
      <c r="L111" s="4" t="str">
        <f t="shared" si="1"/>
        <v>Feb-2025</v>
      </c>
    </row>
    <row r="112" ht="15.75" customHeight="1">
      <c r="A112" s="4" t="s">
        <v>239</v>
      </c>
      <c r="B112" s="5">
        <v>45690.0</v>
      </c>
      <c r="C112" s="4" t="s">
        <v>92</v>
      </c>
      <c r="D112" s="4" t="s">
        <v>14</v>
      </c>
      <c r="E112" s="4" t="s">
        <v>25</v>
      </c>
      <c r="F112" s="4" t="s">
        <v>80</v>
      </c>
      <c r="G112" s="4">
        <v>1.0</v>
      </c>
      <c r="H112" s="6">
        <v>1043.89</v>
      </c>
      <c r="I112" s="6">
        <v>1043.89</v>
      </c>
      <c r="J112" s="6">
        <v>820.95</v>
      </c>
      <c r="K112" s="6">
        <v>222.94</v>
      </c>
      <c r="L112" s="4" t="str">
        <f t="shared" si="1"/>
        <v>Feb-2025</v>
      </c>
    </row>
    <row r="113" ht="15.75" customHeight="1">
      <c r="A113" s="4" t="s">
        <v>240</v>
      </c>
      <c r="B113" s="5">
        <v>45691.0</v>
      </c>
      <c r="C113" s="4" t="s">
        <v>75</v>
      </c>
      <c r="D113" s="4" t="s">
        <v>24</v>
      </c>
      <c r="E113" s="4" t="s">
        <v>29</v>
      </c>
      <c r="F113" s="4" t="s">
        <v>241</v>
      </c>
      <c r="G113" s="4">
        <v>1.0</v>
      </c>
      <c r="H113" s="6">
        <v>10224.43</v>
      </c>
      <c r="I113" s="6">
        <v>10224.43</v>
      </c>
      <c r="J113" s="6">
        <v>8500.99</v>
      </c>
      <c r="K113" s="6">
        <v>1723.44</v>
      </c>
      <c r="L113" s="4" t="str">
        <f t="shared" si="1"/>
        <v>Feb-2025</v>
      </c>
    </row>
    <row r="114" ht="15.75" customHeight="1">
      <c r="A114" s="4" t="s">
        <v>242</v>
      </c>
      <c r="B114" s="5">
        <v>45691.0</v>
      </c>
      <c r="C114" s="4" t="s">
        <v>18</v>
      </c>
      <c r="D114" s="4" t="s">
        <v>19</v>
      </c>
      <c r="E114" s="4" t="s">
        <v>25</v>
      </c>
      <c r="F114" s="4" t="s">
        <v>243</v>
      </c>
      <c r="G114" s="4">
        <v>5.0</v>
      </c>
      <c r="H114" s="6">
        <v>44428.98</v>
      </c>
      <c r="I114" s="6">
        <v>222144.9</v>
      </c>
      <c r="J114" s="6">
        <v>193003.94</v>
      </c>
      <c r="K114" s="6">
        <v>29140.96</v>
      </c>
      <c r="L114" s="4" t="str">
        <f t="shared" si="1"/>
        <v>Feb-2025</v>
      </c>
    </row>
    <row r="115" ht="15.75" customHeight="1">
      <c r="A115" s="4" t="s">
        <v>244</v>
      </c>
      <c r="B115" s="5">
        <v>45692.0</v>
      </c>
      <c r="C115" s="4" t="s">
        <v>47</v>
      </c>
      <c r="D115" s="4" t="s">
        <v>14</v>
      </c>
      <c r="E115" s="4" t="s">
        <v>29</v>
      </c>
      <c r="F115" s="4" t="s">
        <v>245</v>
      </c>
      <c r="G115" s="4">
        <v>5.0</v>
      </c>
      <c r="H115" s="6">
        <v>597.02</v>
      </c>
      <c r="I115" s="6">
        <v>2985.1</v>
      </c>
      <c r="J115" s="6">
        <v>2472.87</v>
      </c>
      <c r="K115" s="6">
        <v>512.23</v>
      </c>
      <c r="L115" s="4" t="str">
        <f t="shared" si="1"/>
        <v>Feb-2025</v>
      </c>
    </row>
    <row r="116" ht="15.75" customHeight="1">
      <c r="A116" s="4" t="s">
        <v>246</v>
      </c>
      <c r="B116" s="5">
        <v>45692.0</v>
      </c>
      <c r="C116" s="4" t="s">
        <v>35</v>
      </c>
      <c r="D116" s="4" t="s">
        <v>14</v>
      </c>
      <c r="E116" s="4" t="s">
        <v>15</v>
      </c>
      <c r="F116" s="4" t="s">
        <v>167</v>
      </c>
      <c r="G116" s="4">
        <v>7.0</v>
      </c>
      <c r="H116" s="6">
        <v>968.23</v>
      </c>
      <c r="I116" s="6">
        <v>6777.61</v>
      </c>
      <c r="J116" s="6">
        <v>4901.76</v>
      </c>
      <c r="K116" s="6">
        <v>1875.85</v>
      </c>
      <c r="L116" s="4" t="str">
        <f t="shared" si="1"/>
        <v>Feb-2025</v>
      </c>
    </row>
    <row r="117" ht="15.75" customHeight="1">
      <c r="A117" s="4" t="s">
        <v>247</v>
      </c>
      <c r="B117" s="5">
        <v>45692.0</v>
      </c>
      <c r="C117" s="4" t="s">
        <v>109</v>
      </c>
      <c r="D117" s="4" t="s">
        <v>42</v>
      </c>
      <c r="E117" s="4" t="s">
        <v>25</v>
      </c>
      <c r="F117" s="4" t="s">
        <v>248</v>
      </c>
      <c r="G117" s="4">
        <v>7.0</v>
      </c>
      <c r="H117" s="6">
        <v>3652.38</v>
      </c>
      <c r="I117" s="6">
        <v>25566.66</v>
      </c>
      <c r="J117" s="6">
        <v>22807.4</v>
      </c>
      <c r="K117" s="6">
        <v>2759.26</v>
      </c>
      <c r="L117" s="4" t="str">
        <f t="shared" si="1"/>
        <v>Feb-2025</v>
      </c>
    </row>
    <row r="118" ht="15.75" customHeight="1">
      <c r="A118" s="4" t="s">
        <v>249</v>
      </c>
      <c r="B118" s="5">
        <v>45692.0</v>
      </c>
      <c r="C118" s="4" t="s">
        <v>32</v>
      </c>
      <c r="D118" s="4" t="s">
        <v>19</v>
      </c>
      <c r="E118" s="4" t="s">
        <v>29</v>
      </c>
      <c r="F118" s="4" t="s">
        <v>250</v>
      </c>
      <c r="G118" s="4">
        <v>4.0</v>
      </c>
      <c r="H118" s="6">
        <v>42323.57</v>
      </c>
      <c r="I118" s="6">
        <v>169294.28</v>
      </c>
      <c r="J118" s="6">
        <v>150075.75</v>
      </c>
      <c r="K118" s="6">
        <v>19218.53</v>
      </c>
      <c r="L118" s="4" t="str">
        <f t="shared" si="1"/>
        <v>Feb-2025</v>
      </c>
    </row>
    <row r="119" ht="15.75" customHeight="1">
      <c r="A119" s="4" t="s">
        <v>251</v>
      </c>
      <c r="B119" s="5">
        <v>45694.0</v>
      </c>
      <c r="C119" s="4" t="s">
        <v>50</v>
      </c>
      <c r="D119" s="4" t="s">
        <v>42</v>
      </c>
      <c r="E119" s="4" t="s">
        <v>29</v>
      </c>
      <c r="F119" s="4" t="s">
        <v>252</v>
      </c>
      <c r="G119" s="4">
        <v>7.0</v>
      </c>
      <c r="H119" s="6">
        <v>1827.34</v>
      </c>
      <c r="I119" s="6">
        <v>12791.38</v>
      </c>
      <c r="J119" s="6">
        <v>9810.18</v>
      </c>
      <c r="K119" s="6">
        <v>2981.2</v>
      </c>
      <c r="L119" s="4" t="str">
        <f t="shared" si="1"/>
        <v>Feb-2025</v>
      </c>
    </row>
    <row r="120" ht="15.75" customHeight="1">
      <c r="A120" s="4" t="s">
        <v>253</v>
      </c>
      <c r="B120" s="5">
        <v>45694.0</v>
      </c>
      <c r="C120" s="4" t="s">
        <v>18</v>
      </c>
      <c r="D120" s="4" t="s">
        <v>19</v>
      </c>
      <c r="E120" s="4" t="s">
        <v>25</v>
      </c>
      <c r="F120" s="4" t="s">
        <v>254</v>
      </c>
      <c r="G120" s="4">
        <v>5.0</v>
      </c>
      <c r="H120" s="6">
        <v>67170.41</v>
      </c>
      <c r="I120" s="6">
        <v>335852.05</v>
      </c>
      <c r="J120" s="6">
        <v>269025.2</v>
      </c>
      <c r="K120" s="6">
        <v>66826.85</v>
      </c>
      <c r="L120" s="4" t="str">
        <f t="shared" si="1"/>
        <v>Feb-2025</v>
      </c>
    </row>
    <row r="121" ht="15.75" customHeight="1">
      <c r="A121" s="4" t="s">
        <v>255</v>
      </c>
      <c r="B121" s="5">
        <v>45694.0</v>
      </c>
      <c r="C121" s="4" t="s">
        <v>75</v>
      </c>
      <c r="D121" s="4" t="s">
        <v>24</v>
      </c>
      <c r="E121" s="4" t="s">
        <v>29</v>
      </c>
      <c r="F121" s="4" t="s">
        <v>256</v>
      </c>
      <c r="G121" s="4">
        <v>6.0</v>
      </c>
      <c r="H121" s="6">
        <v>8098.68</v>
      </c>
      <c r="I121" s="6">
        <v>48592.08</v>
      </c>
      <c r="J121" s="6">
        <v>42064.01</v>
      </c>
      <c r="K121" s="6">
        <v>6528.07</v>
      </c>
      <c r="L121" s="4" t="str">
        <f t="shared" si="1"/>
        <v>Feb-2025</v>
      </c>
    </row>
    <row r="122" ht="15.75" customHeight="1">
      <c r="A122" s="4" t="s">
        <v>257</v>
      </c>
      <c r="B122" s="5">
        <v>45694.0</v>
      </c>
      <c r="C122" s="4" t="s">
        <v>13</v>
      </c>
      <c r="D122" s="4" t="s">
        <v>14</v>
      </c>
      <c r="E122" s="4" t="s">
        <v>25</v>
      </c>
      <c r="F122" s="2" t="s">
        <v>258</v>
      </c>
      <c r="G122" s="4">
        <v>2.0</v>
      </c>
      <c r="H122" s="6">
        <v>375.98</v>
      </c>
      <c r="I122" s="6">
        <v>751.96</v>
      </c>
      <c r="J122" s="6">
        <v>540.55</v>
      </c>
      <c r="K122" s="6">
        <v>211.41</v>
      </c>
      <c r="L122" s="4" t="str">
        <f t="shared" si="1"/>
        <v>Feb-2025</v>
      </c>
    </row>
    <row r="123" ht="15.75" customHeight="1">
      <c r="A123" s="4" t="s">
        <v>259</v>
      </c>
      <c r="B123" s="5">
        <v>45695.0</v>
      </c>
      <c r="C123" s="4" t="s">
        <v>32</v>
      </c>
      <c r="D123" s="4" t="s">
        <v>19</v>
      </c>
      <c r="E123" s="4" t="s">
        <v>29</v>
      </c>
      <c r="F123" s="4" t="s">
        <v>162</v>
      </c>
      <c r="G123" s="4">
        <v>3.0</v>
      </c>
      <c r="H123" s="6">
        <v>38369.71</v>
      </c>
      <c r="I123" s="6">
        <v>115109.13</v>
      </c>
      <c r="J123" s="6">
        <v>101060.11</v>
      </c>
      <c r="K123" s="6">
        <v>14049.02</v>
      </c>
      <c r="L123" s="4" t="str">
        <f t="shared" si="1"/>
        <v>Feb-2025</v>
      </c>
    </row>
    <row r="124" ht="15.75" customHeight="1">
      <c r="A124" s="4" t="s">
        <v>260</v>
      </c>
      <c r="B124" s="5">
        <v>45695.0</v>
      </c>
      <c r="C124" s="4" t="s">
        <v>28</v>
      </c>
      <c r="D124" s="4" t="s">
        <v>14</v>
      </c>
      <c r="E124" s="4" t="s">
        <v>20</v>
      </c>
      <c r="F124" s="4" t="s">
        <v>76</v>
      </c>
      <c r="G124" s="4">
        <v>5.0</v>
      </c>
      <c r="H124" s="6">
        <v>102.43</v>
      </c>
      <c r="I124" s="6">
        <v>512.15</v>
      </c>
      <c r="J124" s="6">
        <v>403.97</v>
      </c>
      <c r="K124" s="6">
        <v>108.18</v>
      </c>
      <c r="L124" s="4" t="str">
        <f t="shared" si="1"/>
        <v>Feb-2025</v>
      </c>
    </row>
    <row r="125" ht="15.75" customHeight="1">
      <c r="A125" s="4" t="s">
        <v>261</v>
      </c>
      <c r="B125" s="5">
        <v>45696.0</v>
      </c>
      <c r="C125" s="4" t="s">
        <v>35</v>
      </c>
      <c r="D125" s="4" t="s">
        <v>14</v>
      </c>
      <c r="E125" s="4" t="s">
        <v>25</v>
      </c>
      <c r="F125" s="4" t="s">
        <v>150</v>
      </c>
      <c r="G125" s="4">
        <v>5.0</v>
      </c>
      <c r="H125" s="6">
        <v>1436.08</v>
      </c>
      <c r="I125" s="6">
        <v>7180.4</v>
      </c>
      <c r="J125" s="6">
        <v>5070.42</v>
      </c>
      <c r="K125" s="6">
        <v>2109.98</v>
      </c>
      <c r="L125" s="4" t="str">
        <f t="shared" si="1"/>
        <v>Feb-2025</v>
      </c>
    </row>
    <row r="126" ht="15.75" customHeight="1">
      <c r="A126" s="4" t="s">
        <v>262</v>
      </c>
      <c r="B126" s="5">
        <v>45696.0</v>
      </c>
      <c r="C126" s="4" t="s">
        <v>38</v>
      </c>
      <c r="D126" s="4" t="s">
        <v>19</v>
      </c>
      <c r="E126" s="4" t="s">
        <v>20</v>
      </c>
      <c r="F126" s="4" t="s">
        <v>39</v>
      </c>
      <c r="G126" s="4">
        <v>3.0</v>
      </c>
      <c r="H126" s="6">
        <v>2141.62</v>
      </c>
      <c r="I126" s="6">
        <v>6424.86</v>
      </c>
      <c r="J126" s="6">
        <v>5602.22</v>
      </c>
      <c r="K126" s="6">
        <v>822.64</v>
      </c>
      <c r="L126" s="4" t="str">
        <f t="shared" si="1"/>
        <v>Feb-2025</v>
      </c>
    </row>
    <row r="127" ht="15.75" customHeight="1">
      <c r="A127" s="4" t="s">
        <v>263</v>
      </c>
      <c r="B127" s="5">
        <v>45697.0</v>
      </c>
      <c r="C127" s="4" t="s">
        <v>13</v>
      </c>
      <c r="D127" s="4" t="s">
        <v>14</v>
      </c>
      <c r="E127" s="4" t="s">
        <v>20</v>
      </c>
      <c r="F127" s="4" t="s">
        <v>264</v>
      </c>
      <c r="G127" s="4">
        <v>7.0</v>
      </c>
      <c r="H127" s="6">
        <v>568.74</v>
      </c>
      <c r="I127" s="6">
        <v>3981.18</v>
      </c>
      <c r="J127" s="6">
        <v>3305.93</v>
      </c>
      <c r="K127" s="6">
        <v>675.25</v>
      </c>
      <c r="L127" s="4" t="str">
        <f t="shared" si="1"/>
        <v>Feb-2025</v>
      </c>
    </row>
    <row r="128" ht="15.75" customHeight="1">
      <c r="A128" s="4" t="s">
        <v>265</v>
      </c>
      <c r="B128" s="5">
        <v>45697.0</v>
      </c>
      <c r="C128" s="4" t="s">
        <v>140</v>
      </c>
      <c r="D128" s="4" t="s">
        <v>14</v>
      </c>
      <c r="E128" s="4" t="s">
        <v>20</v>
      </c>
      <c r="F128" s="4" t="s">
        <v>266</v>
      </c>
      <c r="G128" s="4">
        <v>7.0</v>
      </c>
      <c r="H128" s="6">
        <v>665.63</v>
      </c>
      <c r="I128" s="6">
        <v>4659.41</v>
      </c>
      <c r="J128" s="6">
        <v>3542.7</v>
      </c>
      <c r="K128" s="6">
        <v>1116.71</v>
      </c>
      <c r="L128" s="4" t="str">
        <f t="shared" si="1"/>
        <v>Feb-2025</v>
      </c>
    </row>
    <row r="129" ht="15.75" customHeight="1">
      <c r="A129" s="4" t="s">
        <v>267</v>
      </c>
      <c r="B129" s="5">
        <v>45697.0</v>
      </c>
      <c r="C129" s="4" t="s">
        <v>47</v>
      </c>
      <c r="D129" s="4" t="s">
        <v>14</v>
      </c>
      <c r="E129" s="4" t="s">
        <v>29</v>
      </c>
      <c r="F129" s="4" t="s">
        <v>268</v>
      </c>
      <c r="G129" s="4">
        <v>1.0</v>
      </c>
      <c r="H129" s="6">
        <v>416.64</v>
      </c>
      <c r="I129" s="6">
        <v>416.64</v>
      </c>
      <c r="J129" s="6">
        <v>295.81</v>
      </c>
      <c r="K129" s="6">
        <v>120.83</v>
      </c>
      <c r="L129" s="4" t="str">
        <f t="shared" si="1"/>
        <v>Feb-2025</v>
      </c>
    </row>
    <row r="130" ht="15.75" customHeight="1">
      <c r="A130" s="4" t="s">
        <v>269</v>
      </c>
      <c r="B130" s="5">
        <v>45697.0</v>
      </c>
      <c r="C130" s="4" t="s">
        <v>66</v>
      </c>
      <c r="D130" s="4" t="s">
        <v>42</v>
      </c>
      <c r="E130" s="4" t="s">
        <v>15</v>
      </c>
      <c r="F130" s="4" t="s">
        <v>270</v>
      </c>
      <c r="G130" s="4">
        <v>5.0</v>
      </c>
      <c r="H130" s="6">
        <v>3722.77</v>
      </c>
      <c r="I130" s="6">
        <v>18613.85</v>
      </c>
      <c r="J130" s="6">
        <v>16313.16</v>
      </c>
      <c r="K130" s="6">
        <v>2300.69</v>
      </c>
      <c r="L130" s="4" t="str">
        <f t="shared" si="1"/>
        <v>Feb-2025</v>
      </c>
    </row>
    <row r="131" ht="15.75" customHeight="1">
      <c r="A131" s="4" t="s">
        <v>271</v>
      </c>
      <c r="B131" s="5">
        <v>45697.0</v>
      </c>
      <c r="C131" s="4" t="s">
        <v>13</v>
      </c>
      <c r="D131" s="4" t="s">
        <v>14</v>
      </c>
      <c r="E131" s="4" t="s">
        <v>15</v>
      </c>
      <c r="F131" s="4" t="s">
        <v>121</v>
      </c>
      <c r="G131" s="4">
        <v>2.0</v>
      </c>
      <c r="H131" s="6">
        <v>666.03</v>
      </c>
      <c r="I131" s="6">
        <v>1332.06</v>
      </c>
      <c r="J131" s="6">
        <v>1089.7</v>
      </c>
      <c r="K131" s="6">
        <v>242.36</v>
      </c>
      <c r="L131" s="4" t="str">
        <f t="shared" si="1"/>
        <v>Feb-2025</v>
      </c>
    </row>
    <row r="132" ht="15.75" customHeight="1">
      <c r="A132" s="4" t="s">
        <v>272</v>
      </c>
      <c r="B132" s="5">
        <v>45697.0</v>
      </c>
      <c r="C132" s="4" t="s">
        <v>18</v>
      </c>
      <c r="D132" s="4" t="s">
        <v>19</v>
      </c>
      <c r="E132" s="4" t="s">
        <v>25</v>
      </c>
      <c r="F132" s="4" t="s">
        <v>236</v>
      </c>
      <c r="G132" s="4">
        <v>6.0</v>
      </c>
      <c r="H132" s="6">
        <v>58703.12</v>
      </c>
      <c r="I132" s="6">
        <v>352218.72</v>
      </c>
      <c r="J132" s="6">
        <v>303908.3</v>
      </c>
      <c r="K132" s="6">
        <v>48310.42</v>
      </c>
      <c r="L132" s="4" t="str">
        <f t="shared" si="1"/>
        <v>Feb-2025</v>
      </c>
    </row>
    <row r="133" ht="15.75" customHeight="1">
      <c r="A133" s="4" t="s">
        <v>273</v>
      </c>
      <c r="B133" s="5">
        <v>45698.0</v>
      </c>
      <c r="C133" s="4" t="s">
        <v>180</v>
      </c>
      <c r="D133" s="4" t="s">
        <v>19</v>
      </c>
      <c r="E133" s="4" t="s">
        <v>15</v>
      </c>
      <c r="F133" s="4" t="s">
        <v>274</v>
      </c>
      <c r="G133" s="4">
        <v>7.0</v>
      </c>
      <c r="H133" s="6">
        <v>54683.26</v>
      </c>
      <c r="I133" s="6">
        <v>382782.82</v>
      </c>
      <c r="J133" s="6">
        <v>313491.84</v>
      </c>
      <c r="K133" s="6">
        <v>69290.98</v>
      </c>
      <c r="L133" s="4" t="str">
        <f t="shared" si="1"/>
        <v>Feb-2025</v>
      </c>
    </row>
    <row r="134" ht="15.75" customHeight="1">
      <c r="A134" s="4" t="s">
        <v>275</v>
      </c>
      <c r="B134" s="5">
        <v>45698.0</v>
      </c>
      <c r="C134" s="4" t="s">
        <v>13</v>
      </c>
      <c r="D134" s="4" t="s">
        <v>14</v>
      </c>
      <c r="E134" s="4" t="s">
        <v>29</v>
      </c>
      <c r="F134" s="4" t="s">
        <v>67</v>
      </c>
      <c r="G134" s="4">
        <v>4.0</v>
      </c>
      <c r="H134" s="6">
        <v>1243.68</v>
      </c>
      <c r="I134" s="6">
        <v>4974.72</v>
      </c>
      <c r="J134" s="6">
        <v>4225.87</v>
      </c>
      <c r="K134" s="6">
        <v>748.85</v>
      </c>
      <c r="L134" s="4" t="str">
        <f t="shared" si="1"/>
        <v>Feb-2025</v>
      </c>
    </row>
    <row r="135" ht="15.75" customHeight="1">
      <c r="A135" s="4" t="s">
        <v>276</v>
      </c>
      <c r="B135" s="5">
        <v>45698.0</v>
      </c>
      <c r="C135" s="4" t="s">
        <v>69</v>
      </c>
      <c r="D135" s="4" t="s">
        <v>19</v>
      </c>
      <c r="E135" s="4" t="s">
        <v>20</v>
      </c>
      <c r="F135" s="4" t="s">
        <v>26</v>
      </c>
      <c r="G135" s="4">
        <v>4.0</v>
      </c>
      <c r="H135" s="6">
        <v>65891.17</v>
      </c>
      <c r="I135" s="6">
        <v>263564.68</v>
      </c>
      <c r="J135" s="6">
        <v>214733.68</v>
      </c>
      <c r="K135" s="6">
        <v>48831.0</v>
      </c>
      <c r="L135" s="4" t="str">
        <f t="shared" si="1"/>
        <v>Feb-2025</v>
      </c>
    </row>
    <row r="136" ht="15.75" customHeight="1">
      <c r="A136" s="4" t="s">
        <v>277</v>
      </c>
      <c r="B136" s="5">
        <v>45699.0</v>
      </c>
      <c r="C136" s="4" t="s">
        <v>28</v>
      </c>
      <c r="D136" s="4" t="s">
        <v>14</v>
      </c>
      <c r="E136" s="4" t="s">
        <v>15</v>
      </c>
      <c r="F136" s="4" t="s">
        <v>245</v>
      </c>
      <c r="G136" s="4">
        <v>5.0</v>
      </c>
      <c r="H136" s="6">
        <v>470.56</v>
      </c>
      <c r="I136" s="6">
        <v>2352.8</v>
      </c>
      <c r="J136" s="6">
        <v>1931.98</v>
      </c>
      <c r="K136" s="6">
        <v>420.82</v>
      </c>
      <c r="L136" s="4" t="str">
        <f t="shared" si="1"/>
        <v>Feb-2025</v>
      </c>
    </row>
    <row r="137" ht="15.75" customHeight="1">
      <c r="A137" s="4" t="s">
        <v>278</v>
      </c>
      <c r="B137" s="5">
        <v>45699.0</v>
      </c>
      <c r="C137" s="4" t="s">
        <v>66</v>
      </c>
      <c r="D137" s="4" t="s">
        <v>42</v>
      </c>
      <c r="E137" s="4" t="s">
        <v>25</v>
      </c>
      <c r="F137" s="4" t="s">
        <v>279</v>
      </c>
      <c r="G137" s="4">
        <v>7.0</v>
      </c>
      <c r="H137" s="6">
        <v>4477.47</v>
      </c>
      <c r="I137" s="6">
        <v>31342.29</v>
      </c>
      <c r="J137" s="6">
        <v>27972.17</v>
      </c>
      <c r="K137" s="6">
        <v>3370.12</v>
      </c>
      <c r="L137" s="4" t="str">
        <f t="shared" si="1"/>
        <v>Feb-2025</v>
      </c>
    </row>
    <row r="138" ht="15.75" customHeight="1">
      <c r="A138" s="4" t="s">
        <v>280</v>
      </c>
      <c r="B138" s="5">
        <v>45699.0</v>
      </c>
      <c r="C138" s="4" t="s">
        <v>92</v>
      </c>
      <c r="D138" s="4" t="s">
        <v>14</v>
      </c>
      <c r="E138" s="4" t="s">
        <v>15</v>
      </c>
      <c r="F138" s="4" t="s">
        <v>238</v>
      </c>
      <c r="G138" s="4">
        <v>5.0</v>
      </c>
      <c r="H138" s="6">
        <v>1295.11</v>
      </c>
      <c r="I138" s="6">
        <v>6475.55</v>
      </c>
      <c r="J138" s="6">
        <v>5342.73</v>
      </c>
      <c r="K138" s="6">
        <v>1132.82</v>
      </c>
      <c r="L138" s="4" t="str">
        <f t="shared" si="1"/>
        <v>Feb-2025</v>
      </c>
    </row>
    <row r="139" ht="15.75" customHeight="1">
      <c r="A139" s="4" t="s">
        <v>281</v>
      </c>
      <c r="B139" s="5">
        <v>45699.0</v>
      </c>
      <c r="C139" s="4" t="s">
        <v>41</v>
      </c>
      <c r="D139" s="4" t="s">
        <v>42</v>
      </c>
      <c r="E139" s="4" t="s">
        <v>29</v>
      </c>
      <c r="F139" s="4" t="s">
        <v>282</v>
      </c>
      <c r="G139" s="4">
        <v>5.0</v>
      </c>
      <c r="H139" s="6">
        <v>1134.19</v>
      </c>
      <c r="I139" s="6">
        <v>5670.95</v>
      </c>
      <c r="J139" s="6">
        <v>4281.78</v>
      </c>
      <c r="K139" s="6">
        <v>1389.17</v>
      </c>
      <c r="L139" s="4" t="str">
        <f t="shared" si="1"/>
        <v>Feb-2025</v>
      </c>
    </row>
    <row r="140" ht="15.75" customHeight="1">
      <c r="A140" s="4" t="s">
        <v>283</v>
      </c>
      <c r="B140" s="5">
        <v>45699.0</v>
      </c>
      <c r="C140" s="4" t="s">
        <v>102</v>
      </c>
      <c r="D140" s="4" t="s">
        <v>24</v>
      </c>
      <c r="E140" s="4" t="s">
        <v>29</v>
      </c>
      <c r="F140" s="4" t="s">
        <v>270</v>
      </c>
      <c r="G140" s="4">
        <v>5.0</v>
      </c>
      <c r="H140" s="6">
        <v>3003.41</v>
      </c>
      <c r="I140" s="6">
        <v>15017.05</v>
      </c>
      <c r="J140" s="6">
        <v>11632.35</v>
      </c>
      <c r="K140" s="6">
        <v>3384.7</v>
      </c>
      <c r="L140" s="4" t="str">
        <f t="shared" si="1"/>
        <v>Feb-2025</v>
      </c>
    </row>
    <row r="141" ht="15.75" customHeight="1">
      <c r="A141" s="4" t="s">
        <v>284</v>
      </c>
      <c r="B141" s="5">
        <v>45699.0</v>
      </c>
      <c r="C141" s="4" t="s">
        <v>109</v>
      </c>
      <c r="D141" s="4" t="s">
        <v>42</v>
      </c>
      <c r="E141" s="4" t="s">
        <v>20</v>
      </c>
      <c r="F141" s="4" t="s">
        <v>67</v>
      </c>
      <c r="G141" s="4">
        <v>7.0</v>
      </c>
      <c r="H141" s="6">
        <v>1828.75</v>
      </c>
      <c r="I141" s="6">
        <v>12801.25</v>
      </c>
      <c r="J141" s="6">
        <v>10226.88</v>
      </c>
      <c r="K141" s="6">
        <v>2574.37</v>
      </c>
      <c r="L141" s="4" t="str">
        <f t="shared" si="1"/>
        <v>Feb-2025</v>
      </c>
    </row>
    <row r="142" ht="15.75" customHeight="1">
      <c r="A142" s="4" t="s">
        <v>285</v>
      </c>
      <c r="B142" s="5">
        <v>45700.0</v>
      </c>
      <c r="C142" s="4" t="s">
        <v>47</v>
      </c>
      <c r="D142" s="4" t="s">
        <v>14</v>
      </c>
      <c r="E142" s="4" t="s">
        <v>20</v>
      </c>
      <c r="F142" s="4" t="s">
        <v>286</v>
      </c>
      <c r="G142" s="4">
        <v>4.0</v>
      </c>
      <c r="H142" s="6">
        <v>849.02</v>
      </c>
      <c r="I142" s="6">
        <v>3396.08</v>
      </c>
      <c r="J142" s="6">
        <v>2714.58</v>
      </c>
      <c r="K142" s="6">
        <v>681.5</v>
      </c>
      <c r="L142" s="4" t="str">
        <f t="shared" si="1"/>
        <v>Feb-2025</v>
      </c>
    </row>
    <row r="143" ht="15.75" customHeight="1">
      <c r="A143" s="4" t="s">
        <v>287</v>
      </c>
      <c r="B143" s="5">
        <v>45700.0</v>
      </c>
      <c r="C143" s="4" t="s">
        <v>13</v>
      </c>
      <c r="D143" s="4" t="s">
        <v>14</v>
      </c>
      <c r="E143" s="4" t="s">
        <v>15</v>
      </c>
      <c r="F143" s="4" t="s">
        <v>288</v>
      </c>
      <c r="G143" s="4">
        <v>1.0</v>
      </c>
      <c r="H143" s="6">
        <v>585.13</v>
      </c>
      <c r="I143" s="6">
        <v>585.13</v>
      </c>
      <c r="J143" s="6">
        <v>438.65</v>
      </c>
      <c r="K143" s="6">
        <v>146.48</v>
      </c>
      <c r="L143" s="4" t="str">
        <f t="shared" si="1"/>
        <v>Feb-2025</v>
      </c>
    </row>
    <row r="144" ht="15.75" customHeight="1">
      <c r="A144" s="4" t="s">
        <v>289</v>
      </c>
      <c r="B144" s="5">
        <v>45700.0</v>
      </c>
      <c r="C144" s="4" t="s">
        <v>38</v>
      </c>
      <c r="D144" s="4" t="s">
        <v>19</v>
      </c>
      <c r="E144" s="4" t="s">
        <v>29</v>
      </c>
      <c r="F144" s="4" t="s">
        <v>250</v>
      </c>
      <c r="G144" s="4">
        <v>1.0</v>
      </c>
      <c r="H144" s="6">
        <v>12091.36</v>
      </c>
      <c r="I144" s="6">
        <v>12091.36</v>
      </c>
      <c r="J144" s="6">
        <v>10867.75</v>
      </c>
      <c r="K144" s="6">
        <v>1223.61</v>
      </c>
      <c r="L144" s="4" t="str">
        <f t="shared" si="1"/>
        <v>Feb-2025</v>
      </c>
    </row>
    <row r="145" ht="15.75" customHeight="1">
      <c r="A145" s="4" t="s">
        <v>290</v>
      </c>
      <c r="B145" s="5">
        <v>45700.0</v>
      </c>
      <c r="C145" s="4" t="s">
        <v>92</v>
      </c>
      <c r="D145" s="4" t="s">
        <v>14</v>
      </c>
      <c r="E145" s="4" t="s">
        <v>25</v>
      </c>
      <c r="F145" s="4" t="s">
        <v>291</v>
      </c>
      <c r="G145" s="4">
        <v>6.0</v>
      </c>
      <c r="H145" s="6">
        <v>1044.27</v>
      </c>
      <c r="I145" s="6">
        <v>6265.62</v>
      </c>
      <c r="J145" s="6">
        <v>4310.11</v>
      </c>
      <c r="K145" s="6">
        <v>1955.51</v>
      </c>
      <c r="L145" s="4" t="str">
        <f t="shared" si="1"/>
        <v>Feb-2025</v>
      </c>
    </row>
    <row r="146" ht="15.75" customHeight="1">
      <c r="A146" s="4" t="s">
        <v>292</v>
      </c>
      <c r="B146" s="5">
        <v>45702.0</v>
      </c>
      <c r="C146" s="4" t="s">
        <v>92</v>
      </c>
      <c r="D146" s="4" t="s">
        <v>14</v>
      </c>
      <c r="E146" s="4" t="s">
        <v>15</v>
      </c>
      <c r="F146" s="4" t="s">
        <v>293</v>
      </c>
      <c r="G146" s="4">
        <v>2.0</v>
      </c>
      <c r="H146" s="6">
        <v>203.46</v>
      </c>
      <c r="I146" s="6">
        <v>406.92</v>
      </c>
      <c r="J146" s="6">
        <v>284.89</v>
      </c>
      <c r="K146" s="6">
        <v>122.03</v>
      </c>
      <c r="L146" s="4" t="str">
        <f t="shared" si="1"/>
        <v>Feb-2025</v>
      </c>
    </row>
    <row r="147" ht="15.75" customHeight="1">
      <c r="A147" s="4" t="s">
        <v>294</v>
      </c>
      <c r="B147" s="5">
        <v>45702.0</v>
      </c>
      <c r="C147" s="4" t="s">
        <v>155</v>
      </c>
      <c r="D147" s="4" t="s">
        <v>24</v>
      </c>
      <c r="E147" s="4" t="s">
        <v>25</v>
      </c>
      <c r="F147" s="4" t="s">
        <v>295</v>
      </c>
      <c r="G147" s="4">
        <v>3.0</v>
      </c>
      <c r="H147" s="6">
        <v>4313.35</v>
      </c>
      <c r="I147" s="6">
        <v>12940.05</v>
      </c>
      <c r="J147" s="6">
        <v>10529.78</v>
      </c>
      <c r="K147" s="6">
        <v>2410.27</v>
      </c>
      <c r="L147" s="4" t="str">
        <f t="shared" si="1"/>
        <v>Feb-2025</v>
      </c>
    </row>
    <row r="148" ht="15.75" customHeight="1">
      <c r="A148" s="4" t="s">
        <v>296</v>
      </c>
      <c r="B148" s="5">
        <v>45702.0</v>
      </c>
      <c r="C148" s="4" t="s">
        <v>13</v>
      </c>
      <c r="D148" s="4" t="s">
        <v>14</v>
      </c>
      <c r="E148" s="4" t="s">
        <v>20</v>
      </c>
      <c r="F148" s="4" t="s">
        <v>297</v>
      </c>
      <c r="G148" s="4">
        <v>5.0</v>
      </c>
      <c r="H148" s="6">
        <v>1031.8</v>
      </c>
      <c r="I148" s="6">
        <v>5159.0</v>
      </c>
      <c r="J148" s="6">
        <v>3651.06</v>
      </c>
      <c r="K148" s="6">
        <v>1507.94</v>
      </c>
      <c r="L148" s="4" t="str">
        <f t="shared" si="1"/>
        <v>Feb-2025</v>
      </c>
    </row>
    <row r="149" ht="15.75" customHeight="1">
      <c r="A149" s="4" t="s">
        <v>298</v>
      </c>
      <c r="B149" s="5">
        <v>45702.0</v>
      </c>
      <c r="C149" s="4" t="s">
        <v>92</v>
      </c>
      <c r="D149" s="4" t="s">
        <v>14</v>
      </c>
      <c r="E149" s="4" t="s">
        <v>25</v>
      </c>
      <c r="F149" s="4" t="s">
        <v>86</v>
      </c>
      <c r="G149" s="4">
        <v>3.0</v>
      </c>
      <c r="H149" s="6">
        <v>926.15</v>
      </c>
      <c r="I149" s="6">
        <v>2778.45</v>
      </c>
      <c r="J149" s="6">
        <v>2237.7</v>
      </c>
      <c r="K149" s="6">
        <v>540.75</v>
      </c>
      <c r="L149" s="4" t="str">
        <f t="shared" si="1"/>
        <v>Feb-2025</v>
      </c>
    </row>
    <row r="150" ht="15.75" customHeight="1">
      <c r="A150" s="4" t="s">
        <v>299</v>
      </c>
      <c r="B150" s="5">
        <v>45702.0</v>
      </c>
      <c r="C150" s="4" t="s">
        <v>61</v>
      </c>
      <c r="D150" s="4" t="s">
        <v>19</v>
      </c>
      <c r="E150" s="4" t="s">
        <v>29</v>
      </c>
      <c r="F150" s="4" t="s">
        <v>129</v>
      </c>
      <c r="G150" s="4">
        <v>6.0</v>
      </c>
      <c r="H150" s="6">
        <v>7362.07</v>
      </c>
      <c r="I150" s="6">
        <v>44172.42</v>
      </c>
      <c r="J150" s="6">
        <v>35579.81</v>
      </c>
      <c r="K150" s="6">
        <v>8592.61</v>
      </c>
      <c r="L150" s="4" t="str">
        <f t="shared" si="1"/>
        <v>Feb-2025</v>
      </c>
    </row>
    <row r="151" ht="15.75" customHeight="1">
      <c r="A151" s="4" t="s">
        <v>300</v>
      </c>
      <c r="B151" s="5">
        <v>45703.0</v>
      </c>
      <c r="C151" s="4" t="s">
        <v>69</v>
      </c>
      <c r="D151" s="4" t="s">
        <v>19</v>
      </c>
      <c r="E151" s="4" t="s">
        <v>29</v>
      </c>
      <c r="F151" s="4" t="s">
        <v>199</v>
      </c>
      <c r="G151" s="4">
        <v>2.0</v>
      </c>
      <c r="H151" s="6">
        <v>54127.49</v>
      </c>
      <c r="I151" s="6">
        <v>108254.98</v>
      </c>
      <c r="J151" s="6">
        <v>91979.03</v>
      </c>
      <c r="K151" s="6">
        <v>16275.95</v>
      </c>
      <c r="L151" s="4" t="str">
        <f t="shared" si="1"/>
        <v>Feb-2025</v>
      </c>
    </row>
    <row r="152" ht="15.75" customHeight="1">
      <c r="A152" s="4" t="s">
        <v>301</v>
      </c>
      <c r="B152" s="5">
        <v>45703.0</v>
      </c>
      <c r="C152" s="4" t="s">
        <v>75</v>
      </c>
      <c r="D152" s="4" t="s">
        <v>24</v>
      </c>
      <c r="E152" s="4" t="s">
        <v>25</v>
      </c>
      <c r="F152" s="4" t="s">
        <v>302</v>
      </c>
      <c r="G152" s="4">
        <v>1.0</v>
      </c>
      <c r="H152" s="6">
        <v>5945.5</v>
      </c>
      <c r="I152" s="6">
        <v>5945.5</v>
      </c>
      <c r="J152" s="6">
        <v>4784.27</v>
      </c>
      <c r="K152" s="6">
        <v>1161.23</v>
      </c>
      <c r="L152" s="4" t="str">
        <f t="shared" si="1"/>
        <v>Feb-2025</v>
      </c>
    </row>
    <row r="153" ht="15.75" customHeight="1">
      <c r="A153" s="4" t="s">
        <v>303</v>
      </c>
      <c r="B153" s="5">
        <v>45704.0</v>
      </c>
      <c r="C153" s="4" t="s">
        <v>38</v>
      </c>
      <c r="D153" s="4" t="s">
        <v>19</v>
      </c>
      <c r="E153" s="4" t="s">
        <v>29</v>
      </c>
      <c r="F153" s="4" t="s">
        <v>304</v>
      </c>
      <c r="G153" s="4">
        <v>7.0</v>
      </c>
      <c r="H153" s="6">
        <v>44999.44</v>
      </c>
      <c r="I153" s="6">
        <v>314996.08</v>
      </c>
      <c r="J153" s="6">
        <v>286749.17</v>
      </c>
      <c r="K153" s="6">
        <v>28246.91</v>
      </c>
      <c r="L153" s="4" t="str">
        <f t="shared" si="1"/>
        <v>Feb-2025</v>
      </c>
    </row>
    <row r="154" ht="15.75" customHeight="1">
      <c r="A154" s="4" t="s">
        <v>305</v>
      </c>
      <c r="B154" s="5">
        <v>45705.0</v>
      </c>
      <c r="C154" s="4" t="s">
        <v>102</v>
      </c>
      <c r="D154" s="4" t="s">
        <v>24</v>
      </c>
      <c r="E154" s="4" t="s">
        <v>15</v>
      </c>
      <c r="F154" s="4" t="s">
        <v>270</v>
      </c>
      <c r="G154" s="4">
        <v>7.0</v>
      </c>
      <c r="H154" s="6">
        <v>17942.44</v>
      </c>
      <c r="I154" s="6">
        <v>125597.08</v>
      </c>
      <c r="J154" s="6">
        <v>100208.77</v>
      </c>
      <c r="K154" s="6">
        <v>25388.31</v>
      </c>
      <c r="L154" s="4" t="str">
        <f t="shared" si="1"/>
        <v>Feb-2025</v>
      </c>
    </row>
    <row r="155" ht="15.75" customHeight="1">
      <c r="A155" s="4" t="s">
        <v>306</v>
      </c>
      <c r="B155" s="5">
        <v>45707.0</v>
      </c>
      <c r="C155" s="4" t="s">
        <v>47</v>
      </c>
      <c r="D155" s="4" t="s">
        <v>14</v>
      </c>
      <c r="E155" s="4" t="s">
        <v>29</v>
      </c>
      <c r="F155" s="4" t="s">
        <v>307</v>
      </c>
      <c r="G155" s="4">
        <v>3.0</v>
      </c>
      <c r="H155" s="6">
        <v>1205.36</v>
      </c>
      <c r="I155" s="6">
        <v>3616.08</v>
      </c>
      <c r="J155" s="6">
        <v>2478.91</v>
      </c>
      <c r="K155" s="6">
        <v>1137.17</v>
      </c>
      <c r="L155" s="4" t="str">
        <f t="shared" si="1"/>
        <v>Feb-2025</v>
      </c>
    </row>
    <row r="156" ht="15.75" customHeight="1">
      <c r="A156" s="4" t="s">
        <v>308</v>
      </c>
      <c r="B156" s="5">
        <v>45707.0</v>
      </c>
      <c r="C156" s="4" t="s">
        <v>35</v>
      </c>
      <c r="D156" s="4" t="s">
        <v>14</v>
      </c>
      <c r="E156" s="4" t="s">
        <v>20</v>
      </c>
      <c r="F156" s="4" t="s">
        <v>309</v>
      </c>
      <c r="G156" s="4">
        <v>3.0</v>
      </c>
      <c r="H156" s="6">
        <v>85.08</v>
      </c>
      <c r="I156" s="6">
        <v>255.24</v>
      </c>
      <c r="J156" s="6">
        <v>194.47</v>
      </c>
      <c r="K156" s="6">
        <v>60.77</v>
      </c>
      <c r="L156" s="4" t="str">
        <f t="shared" si="1"/>
        <v>Feb-2025</v>
      </c>
    </row>
    <row r="157" ht="15.75" customHeight="1">
      <c r="A157" s="4" t="s">
        <v>310</v>
      </c>
      <c r="B157" s="5">
        <v>45707.0</v>
      </c>
      <c r="C157" s="4" t="s">
        <v>50</v>
      </c>
      <c r="D157" s="4" t="s">
        <v>42</v>
      </c>
      <c r="E157" s="4" t="s">
        <v>15</v>
      </c>
      <c r="F157" s="4" t="s">
        <v>311</v>
      </c>
      <c r="G157" s="4">
        <v>1.0</v>
      </c>
      <c r="H157" s="6">
        <v>2413.6</v>
      </c>
      <c r="I157" s="6">
        <v>2413.6</v>
      </c>
      <c r="J157" s="6">
        <v>1870.72</v>
      </c>
      <c r="K157" s="6">
        <v>542.88</v>
      </c>
      <c r="L157" s="4" t="str">
        <f t="shared" si="1"/>
        <v>Feb-2025</v>
      </c>
    </row>
    <row r="158" ht="15.75" customHeight="1">
      <c r="A158" s="4" t="s">
        <v>312</v>
      </c>
      <c r="B158" s="5">
        <v>45709.0</v>
      </c>
      <c r="C158" s="4" t="s">
        <v>61</v>
      </c>
      <c r="D158" s="4" t="s">
        <v>19</v>
      </c>
      <c r="E158" s="4" t="s">
        <v>20</v>
      </c>
      <c r="F158" s="4" t="s">
        <v>127</v>
      </c>
      <c r="G158" s="4">
        <v>5.0</v>
      </c>
      <c r="H158" s="6">
        <v>54402.92</v>
      </c>
      <c r="I158" s="6">
        <v>272014.6</v>
      </c>
      <c r="J158" s="6">
        <v>250012.15</v>
      </c>
      <c r="K158" s="6">
        <v>22002.45</v>
      </c>
      <c r="L158" s="4" t="str">
        <f t="shared" si="1"/>
        <v>Feb-2025</v>
      </c>
    </row>
    <row r="159" ht="15.75" customHeight="1">
      <c r="A159" s="4" t="s">
        <v>313</v>
      </c>
      <c r="B159" s="5">
        <v>45709.0</v>
      </c>
      <c r="C159" s="4" t="s">
        <v>32</v>
      </c>
      <c r="D159" s="4" t="s">
        <v>19</v>
      </c>
      <c r="E159" s="4" t="s">
        <v>15</v>
      </c>
      <c r="F159" s="4" t="s">
        <v>219</v>
      </c>
      <c r="G159" s="4">
        <v>3.0</v>
      </c>
      <c r="H159" s="6">
        <v>26481.16</v>
      </c>
      <c r="I159" s="6">
        <v>79443.48</v>
      </c>
      <c r="J159" s="6">
        <v>71442.48</v>
      </c>
      <c r="K159" s="6">
        <v>8001.0</v>
      </c>
      <c r="L159" s="4" t="str">
        <f t="shared" si="1"/>
        <v>Feb-2025</v>
      </c>
    </row>
    <row r="160" ht="15.75" customHeight="1">
      <c r="A160" s="4" t="s">
        <v>314</v>
      </c>
      <c r="B160" s="5">
        <v>45709.0</v>
      </c>
      <c r="C160" s="4" t="s">
        <v>140</v>
      </c>
      <c r="D160" s="4" t="s">
        <v>14</v>
      </c>
      <c r="E160" s="4" t="s">
        <v>15</v>
      </c>
      <c r="F160" s="4" t="s">
        <v>315</v>
      </c>
      <c r="G160" s="4">
        <v>5.0</v>
      </c>
      <c r="H160" s="6">
        <v>1214.39</v>
      </c>
      <c r="I160" s="6">
        <v>6071.95</v>
      </c>
      <c r="J160" s="6">
        <v>4531.15</v>
      </c>
      <c r="K160" s="6">
        <v>1540.8</v>
      </c>
      <c r="L160" s="4" t="str">
        <f t="shared" si="1"/>
        <v>Feb-2025</v>
      </c>
    </row>
    <row r="161" ht="15.75" customHeight="1">
      <c r="A161" s="4" t="s">
        <v>316</v>
      </c>
      <c r="B161" s="5">
        <v>45709.0</v>
      </c>
      <c r="C161" s="4" t="s">
        <v>109</v>
      </c>
      <c r="D161" s="4" t="s">
        <v>42</v>
      </c>
      <c r="E161" s="4" t="s">
        <v>29</v>
      </c>
      <c r="F161" s="4" t="s">
        <v>95</v>
      </c>
      <c r="G161" s="4">
        <v>5.0</v>
      </c>
      <c r="H161" s="6">
        <v>3482.45</v>
      </c>
      <c r="I161" s="6">
        <v>17412.25</v>
      </c>
      <c r="J161" s="6">
        <v>14396.91</v>
      </c>
      <c r="K161" s="6">
        <v>3015.34</v>
      </c>
      <c r="L161" s="4" t="str">
        <f t="shared" si="1"/>
        <v>Feb-2025</v>
      </c>
    </row>
    <row r="162" ht="15.75" customHeight="1">
      <c r="A162" s="4" t="s">
        <v>317</v>
      </c>
      <c r="B162" s="5">
        <v>45710.0</v>
      </c>
      <c r="C162" s="4" t="s">
        <v>18</v>
      </c>
      <c r="D162" s="4" t="s">
        <v>19</v>
      </c>
      <c r="E162" s="4" t="s">
        <v>25</v>
      </c>
      <c r="F162" s="4" t="s">
        <v>318</v>
      </c>
      <c r="G162" s="4">
        <v>6.0</v>
      </c>
      <c r="H162" s="6">
        <v>18760.5</v>
      </c>
      <c r="I162" s="6">
        <v>112563.0</v>
      </c>
      <c r="J162" s="6">
        <v>94479.05</v>
      </c>
      <c r="K162" s="6">
        <v>18083.95</v>
      </c>
      <c r="L162" s="4" t="str">
        <f t="shared" si="1"/>
        <v>Feb-2025</v>
      </c>
    </row>
    <row r="163" ht="15.75" customHeight="1">
      <c r="A163" s="4" t="s">
        <v>319</v>
      </c>
      <c r="B163" s="5">
        <v>45710.0</v>
      </c>
      <c r="C163" s="4" t="s">
        <v>28</v>
      </c>
      <c r="D163" s="4" t="s">
        <v>14</v>
      </c>
      <c r="E163" s="4" t="s">
        <v>29</v>
      </c>
      <c r="F163" s="4" t="s">
        <v>201</v>
      </c>
      <c r="G163" s="4">
        <v>1.0</v>
      </c>
      <c r="H163" s="6">
        <v>214.52</v>
      </c>
      <c r="I163" s="6">
        <v>214.52</v>
      </c>
      <c r="J163" s="6">
        <v>146.02</v>
      </c>
      <c r="K163" s="6">
        <v>68.5</v>
      </c>
      <c r="L163" s="4" t="str">
        <f t="shared" si="1"/>
        <v>Feb-2025</v>
      </c>
    </row>
    <row r="164" ht="15.75" customHeight="1">
      <c r="A164" s="4" t="s">
        <v>320</v>
      </c>
      <c r="B164" s="5">
        <v>45710.0</v>
      </c>
      <c r="C164" s="4" t="s">
        <v>32</v>
      </c>
      <c r="D164" s="4" t="s">
        <v>19</v>
      </c>
      <c r="E164" s="4" t="s">
        <v>29</v>
      </c>
      <c r="F164" s="4" t="s">
        <v>321</v>
      </c>
      <c r="G164" s="4">
        <v>6.0</v>
      </c>
      <c r="H164" s="6">
        <v>42596.04</v>
      </c>
      <c r="I164" s="6">
        <v>255576.24</v>
      </c>
      <c r="J164" s="6">
        <v>231451.26</v>
      </c>
      <c r="K164" s="6">
        <v>24124.98</v>
      </c>
      <c r="L164" s="4" t="str">
        <f t="shared" si="1"/>
        <v>Feb-2025</v>
      </c>
    </row>
    <row r="165" ht="15.75" customHeight="1">
      <c r="A165" s="4" t="s">
        <v>322</v>
      </c>
      <c r="B165" s="5">
        <v>45711.0</v>
      </c>
      <c r="C165" s="4" t="s">
        <v>72</v>
      </c>
      <c r="D165" s="4" t="s">
        <v>24</v>
      </c>
      <c r="E165" s="4" t="s">
        <v>15</v>
      </c>
      <c r="F165" s="4" t="s">
        <v>323</v>
      </c>
      <c r="G165" s="4">
        <v>4.0</v>
      </c>
      <c r="H165" s="6">
        <v>10136.4</v>
      </c>
      <c r="I165" s="6">
        <v>40545.6</v>
      </c>
      <c r="J165" s="6">
        <v>34516.01</v>
      </c>
      <c r="K165" s="6">
        <v>6029.59</v>
      </c>
      <c r="L165" s="4" t="str">
        <f t="shared" si="1"/>
        <v>Feb-2025</v>
      </c>
    </row>
    <row r="166" ht="15.75" customHeight="1">
      <c r="A166" s="4" t="s">
        <v>324</v>
      </c>
      <c r="B166" s="5">
        <v>45711.0</v>
      </c>
      <c r="C166" s="4" t="s">
        <v>140</v>
      </c>
      <c r="D166" s="4" t="s">
        <v>14</v>
      </c>
      <c r="E166" s="4" t="s">
        <v>29</v>
      </c>
      <c r="F166" s="4" t="s">
        <v>325</v>
      </c>
      <c r="G166" s="4">
        <v>6.0</v>
      </c>
      <c r="H166" s="6">
        <v>1435.65</v>
      </c>
      <c r="I166" s="6">
        <v>8613.9</v>
      </c>
      <c r="J166" s="6">
        <v>6966.98</v>
      </c>
      <c r="K166" s="6">
        <v>1646.92</v>
      </c>
      <c r="L166" s="4" t="str">
        <f t="shared" si="1"/>
        <v>Feb-2025</v>
      </c>
    </row>
    <row r="167" ht="15.75" customHeight="1">
      <c r="A167" s="4" t="s">
        <v>326</v>
      </c>
      <c r="B167" s="5">
        <v>45711.0</v>
      </c>
      <c r="C167" s="4" t="s">
        <v>23</v>
      </c>
      <c r="D167" s="4" t="s">
        <v>24</v>
      </c>
      <c r="E167" s="4" t="s">
        <v>29</v>
      </c>
      <c r="F167" s="4" t="s">
        <v>143</v>
      </c>
      <c r="G167" s="4">
        <v>3.0</v>
      </c>
      <c r="H167" s="6">
        <v>16119.8</v>
      </c>
      <c r="I167" s="6">
        <v>48359.4</v>
      </c>
      <c r="J167" s="6">
        <v>40080.06</v>
      </c>
      <c r="K167" s="6">
        <v>8279.34</v>
      </c>
      <c r="L167" s="4" t="str">
        <f t="shared" si="1"/>
        <v>Feb-2025</v>
      </c>
    </row>
    <row r="168" ht="15.75" customHeight="1">
      <c r="A168" s="4" t="s">
        <v>327</v>
      </c>
      <c r="B168" s="5">
        <v>45711.0</v>
      </c>
      <c r="C168" s="4" t="s">
        <v>23</v>
      </c>
      <c r="D168" s="4" t="s">
        <v>24</v>
      </c>
      <c r="E168" s="4" t="s">
        <v>15</v>
      </c>
      <c r="F168" s="4" t="s">
        <v>328</v>
      </c>
      <c r="G168" s="4">
        <v>6.0</v>
      </c>
      <c r="H168" s="6">
        <v>17023.83</v>
      </c>
      <c r="I168" s="6">
        <v>102142.98</v>
      </c>
      <c r="J168" s="6">
        <v>85155.53</v>
      </c>
      <c r="K168" s="6">
        <v>16987.45</v>
      </c>
      <c r="L168" s="4" t="str">
        <f t="shared" si="1"/>
        <v>Feb-2025</v>
      </c>
    </row>
    <row r="169" ht="15.75" customHeight="1">
      <c r="A169" s="4" t="s">
        <v>329</v>
      </c>
      <c r="B169" s="5">
        <v>45711.0</v>
      </c>
      <c r="C169" s="4" t="s">
        <v>66</v>
      </c>
      <c r="D169" s="4" t="s">
        <v>42</v>
      </c>
      <c r="E169" s="4" t="s">
        <v>29</v>
      </c>
      <c r="F169" s="4" t="s">
        <v>330</v>
      </c>
      <c r="G169" s="4">
        <v>6.0</v>
      </c>
      <c r="H169" s="6">
        <v>1171.91</v>
      </c>
      <c r="I169" s="6">
        <v>7031.46</v>
      </c>
      <c r="J169" s="6">
        <v>6171.28</v>
      </c>
      <c r="K169" s="6">
        <v>860.18</v>
      </c>
      <c r="L169" s="4" t="str">
        <f t="shared" si="1"/>
        <v>Feb-2025</v>
      </c>
    </row>
    <row r="170" ht="15.75" customHeight="1">
      <c r="A170" s="4" t="s">
        <v>331</v>
      </c>
      <c r="B170" s="5">
        <v>45712.0</v>
      </c>
      <c r="C170" s="4" t="s">
        <v>18</v>
      </c>
      <c r="D170" s="4" t="s">
        <v>19</v>
      </c>
      <c r="E170" s="4" t="s">
        <v>15</v>
      </c>
      <c r="F170" s="4" t="s">
        <v>332</v>
      </c>
      <c r="G170" s="4">
        <v>6.0</v>
      </c>
      <c r="H170" s="6">
        <v>36905.55</v>
      </c>
      <c r="I170" s="6">
        <v>221433.3</v>
      </c>
      <c r="J170" s="6">
        <v>187792.21</v>
      </c>
      <c r="K170" s="6">
        <v>33641.09</v>
      </c>
      <c r="L170" s="4" t="str">
        <f t="shared" si="1"/>
        <v>Feb-2025</v>
      </c>
    </row>
    <row r="171" ht="15.75" customHeight="1">
      <c r="A171" s="4" t="s">
        <v>333</v>
      </c>
      <c r="B171" s="5">
        <v>45712.0</v>
      </c>
      <c r="C171" s="4" t="s">
        <v>32</v>
      </c>
      <c r="D171" s="4" t="s">
        <v>19</v>
      </c>
      <c r="E171" s="4" t="s">
        <v>25</v>
      </c>
      <c r="F171" s="4" t="s">
        <v>334</v>
      </c>
      <c r="G171" s="4">
        <v>3.0</v>
      </c>
      <c r="H171" s="6">
        <v>32026.58</v>
      </c>
      <c r="I171" s="6">
        <v>96079.74</v>
      </c>
      <c r="J171" s="6">
        <v>77218.26</v>
      </c>
      <c r="K171" s="6">
        <v>18861.48</v>
      </c>
      <c r="L171" s="4" t="str">
        <f t="shared" si="1"/>
        <v>Feb-2025</v>
      </c>
    </row>
    <row r="172" ht="15.75" customHeight="1">
      <c r="A172" s="4" t="s">
        <v>335</v>
      </c>
      <c r="B172" s="5">
        <v>45712.0</v>
      </c>
      <c r="C172" s="4" t="s">
        <v>180</v>
      </c>
      <c r="D172" s="4" t="s">
        <v>19</v>
      </c>
      <c r="E172" s="4" t="s">
        <v>25</v>
      </c>
      <c r="F172" s="4" t="s">
        <v>51</v>
      </c>
      <c r="G172" s="4">
        <v>1.0</v>
      </c>
      <c r="H172" s="6">
        <v>53181.95</v>
      </c>
      <c r="I172" s="6">
        <v>53181.95</v>
      </c>
      <c r="J172" s="6">
        <v>45712.94</v>
      </c>
      <c r="K172" s="6">
        <v>7469.01</v>
      </c>
      <c r="L172" s="4" t="str">
        <f t="shared" si="1"/>
        <v>Feb-2025</v>
      </c>
    </row>
    <row r="173" ht="15.75" customHeight="1">
      <c r="A173" s="4" t="s">
        <v>336</v>
      </c>
      <c r="B173" s="5">
        <v>45713.0</v>
      </c>
      <c r="C173" s="4" t="s">
        <v>160</v>
      </c>
      <c r="D173" s="4" t="s">
        <v>42</v>
      </c>
      <c r="E173" s="4" t="s">
        <v>29</v>
      </c>
      <c r="F173" s="4" t="s">
        <v>33</v>
      </c>
      <c r="G173" s="4">
        <v>5.0</v>
      </c>
      <c r="H173" s="6">
        <v>4816.95</v>
      </c>
      <c r="I173" s="6">
        <v>24084.75</v>
      </c>
      <c r="J173" s="6">
        <v>19553.14</v>
      </c>
      <c r="K173" s="6">
        <v>4531.61</v>
      </c>
      <c r="L173" s="4" t="str">
        <f t="shared" si="1"/>
        <v>Feb-2025</v>
      </c>
    </row>
    <row r="174" ht="15.75" customHeight="1">
      <c r="A174" s="4" t="s">
        <v>337</v>
      </c>
      <c r="B174" s="5">
        <v>45713.0</v>
      </c>
      <c r="C174" s="4" t="s">
        <v>47</v>
      </c>
      <c r="D174" s="4" t="s">
        <v>14</v>
      </c>
      <c r="E174" s="4" t="s">
        <v>25</v>
      </c>
      <c r="F174" s="4" t="s">
        <v>338</v>
      </c>
      <c r="G174" s="4">
        <v>1.0</v>
      </c>
      <c r="H174" s="6">
        <v>152.28</v>
      </c>
      <c r="I174" s="6">
        <v>152.28</v>
      </c>
      <c r="J174" s="6">
        <v>108.18</v>
      </c>
      <c r="K174" s="6">
        <v>44.1</v>
      </c>
      <c r="L174" s="4" t="str">
        <f t="shared" si="1"/>
        <v>Feb-2025</v>
      </c>
    </row>
    <row r="175" ht="15.75" customHeight="1">
      <c r="A175" s="4" t="s">
        <v>339</v>
      </c>
      <c r="B175" s="5">
        <v>45713.0</v>
      </c>
      <c r="C175" s="4" t="s">
        <v>61</v>
      </c>
      <c r="D175" s="4" t="s">
        <v>19</v>
      </c>
      <c r="E175" s="4" t="s">
        <v>29</v>
      </c>
      <c r="F175" s="4" t="s">
        <v>340</v>
      </c>
      <c r="G175" s="4">
        <v>5.0</v>
      </c>
      <c r="H175" s="6">
        <v>22041.97</v>
      </c>
      <c r="I175" s="6">
        <v>110209.85</v>
      </c>
      <c r="J175" s="6">
        <v>98120.32</v>
      </c>
      <c r="K175" s="6">
        <v>12089.53</v>
      </c>
      <c r="L175" s="4" t="str">
        <f t="shared" si="1"/>
        <v>Feb-2025</v>
      </c>
    </row>
    <row r="176" ht="15.75" customHeight="1">
      <c r="A176" s="4" t="s">
        <v>341</v>
      </c>
      <c r="B176" s="5">
        <v>45714.0</v>
      </c>
      <c r="C176" s="4" t="s">
        <v>18</v>
      </c>
      <c r="D176" s="4" t="s">
        <v>19</v>
      </c>
      <c r="E176" s="4" t="s">
        <v>15</v>
      </c>
      <c r="F176" s="4" t="s">
        <v>119</v>
      </c>
      <c r="G176" s="4">
        <v>2.0</v>
      </c>
      <c r="H176" s="6">
        <v>41343.4</v>
      </c>
      <c r="I176" s="6">
        <v>82686.8</v>
      </c>
      <c r="J176" s="6">
        <v>73593.79</v>
      </c>
      <c r="K176" s="6">
        <v>9093.01</v>
      </c>
      <c r="L176" s="4" t="str">
        <f t="shared" si="1"/>
        <v>Feb-2025</v>
      </c>
    </row>
    <row r="177" ht="15.75" customHeight="1">
      <c r="A177" s="4" t="s">
        <v>342</v>
      </c>
      <c r="B177" s="5">
        <v>45714.0</v>
      </c>
      <c r="C177" s="4" t="s">
        <v>109</v>
      </c>
      <c r="D177" s="4" t="s">
        <v>42</v>
      </c>
      <c r="E177" s="4" t="s">
        <v>25</v>
      </c>
      <c r="F177" s="4" t="s">
        <v>343</v>
      </c>
      <c r="G177" s="4">
        <v>1.0</v>
      </c>
      <c r="H177" s="6">
        <v>2259.92</v>
      </c>
      <c r="I177" s="6">
        <v>2259.92</v>
      </c>
      <c r="J177" s="6">
        <v>1952.63</v>
      </c>
      <c r="K177" s="6">
        <v>307.29</v>
      </c>
      <c r="L177" s="4" t="str">
        <f t="shared" si="1"/>
        <v>Feb-2025</v>
      </c>
    </row>
    <row r="178" ht="15.75" customHeight="1">
      <c r="A178" s="4" t="s">
        <v>344</v>
      </c>
      <c r="B178" s="5">
        <v>45715.0</v>
      </c>
      <c r="C178" s="4" t="s">
        <v>160</v>
      </c>
      <c r="D178" s="4" t="s">
        <v>42</v>
      </c>
      <c r="E178" s="4" t="s">
        <v>20</v>
      </c>
      <c r="F178" s="4" t="s">
        <v>207</v>
      </c>
      <c r="G178" s="4">
        <v>4.0</v>
      </c>
      <c r="H178" s="6">
        <v>3268.62</v>
      </c>
      <c r="I178" s="6">
        <v>13074.48</v>
      </c>
      <c r="J178" s="6">
        <v>10916.1</v>
      </c>
      <c r="K178" s="6">
        <v>2158.38</v>
      </c>
      <c r="L178" s="4" t="str">
        <f t="shared" si="1"/>
        <v>Feb-2025</v>
      </c>
    </row>
    <row r="179" ht="15.75" customHeight="1">
      <c r="A179" s="4" t="s">
        <v>345</v>
      </c>
      <c r="B179" s="5">
        <v>45715.0</v>
      </c>
      <c r="C179" s="4" t="s">
        <v>72</v>
      </c>
      <c r="D179" s="4" t="s">
        <v>24</v>
      </c>
      <c r="E179" s="4" t="s">
        <v>25</v>
      </c>
      <c r="F179" s="4" t="s">
        <v>346</v>
      </c>
      <c r="G179" s="4">
        <v>1.0</v>
      </c>
      <c r="H179" s="6">
        <v>13654.72</v>
      </c>
      <c r="I179" s="6">
        <v>13654.72</v>
      </c>
      <c r="J179" s="6">
        <v>9850.12</v>
      </c>
      <c r="K179" s="6">
        <v>3804.6</v>
      </c>
      <c r="L179" s="4" t="str">
        <f t="shared" si="1"/>
        <v>Feb-2025</v>
      </c>
    </row>
    <row r="180" ht="15.75" customHeight="1">
      <c r="A180" s="4" t="s">
        <v>347</v>
      </c>
      <c r="B180" s="5">
        <v>45716.0</v>
      </c>
      <c r="C180" s="4" t="s">
        <v>160</v>
      </c>
      <c r="D180" s="4" t="s">
        <v>42</v>
      </c>
      <c r="E180" s="4" t="s">
        <v>25</v>
      </c>
      <c r="F180" s="4" t="s">
        <v>171</v>
      </c>
      <c r="G180" s="4">
        <v>6.0</v>
      </c>
      <c r="H180" s="6">
        <v>4638.24</v>
      </c>
      <c r="I180" s="6">
        <v>27829.44</v>
      </c>
      <c r="J180" s="6">
        <v>21511.93</v>
      </c>
      <c r="K180" s="6">
        <v>6317.51</v>
      </c>
      <c r="L180" s="4" t="str">
        <f t="shared" si="1"/>
        <v>Feb-2025</v>
      </c>
    </row>
    <row r="181" ht="15.75" customHeight="1">
      <c r="A181" s="4" t="s">
        <v>348</v>
      </c>
      <c r="B181" s="5">
        <v>45716.0</v>
      </c>
      <c r="C181" s="4" t="s">
        <v>38</v>
      </c>
      <c r="D181" s="4" t="s">
        <v>19</v>
      </c>
      <c r="E181" s="4" t="s">
        <v>25</v>
      </c>
      <c r="F181" s="4" t="s">
        <v>346</v>
      </c>
      <c r="G181" s="4">
        <v>4.0</v>
      </c>
      <c r="H181" s="6">
        <v>73052.66</v>
      </c>
      <c r="I181" s="6">
        <v>292210.64</v>
      </c>
      <c r="J181" s="6">
        <v>260671.6</v>
      </c>
      <c r="K181" s="6">
        <v>31539.04</v>
      </c>
      <c r="L181" s="4" t="str">
        <f t="shared" si="1"/>
        <v>Feb-2025</v>
      </c>
    </row>
    <row r="182" ht="15.75" customHeight="1">
      <c r="A182" s="4" t="s">
        <v>349</v>
      </c>
      <c r="B182" s="5">
        <v>45716.0</v>
      </c>
      <c r="C182" s="4" t="s">
        <v>23</v>
      </c>
      <c r="D182" s="4" t="s">
        <v>24</v>
      </c>
      <c r="E182" s="4" t="s">
        <v>15</v>
      </c>
      <c r="F182" s="4" t="s">
        <v>133</v>
      </c>
      <c r="G182" s="4">
        <v>4.0</v>
      </c>
      <c r="H182" s="6">
        <v>9959.87</v>
      </c>
      <c r="I182" s="6">
        <v>39839.48</v>
      </c>
      <c r="J182" s="6">
        <v>32896.8</v>
      </c>
      <c r="K182" s="6">
        <v>6942.68</v>
      </c>
      <c r="L182" s="4" t="str">
        <f t="shared" si="1"/>
        <v>Feb-2025</v>
      </c>
    </row>
    <row r="183" ht="15.75" customHeight="1">
      <c r="A183" s="4" t="s">
        <v>350</v>
      </c>
      <c r="B183" s="5">
        <v>45717.0</v>
      </c>
      <c r="C183" s="4" t="s">
        <v>13</v>
      </c>
      <c r="D183" s="4" t="s">
        <v>14</v>
      </c>
      <c r="E183" s="4" t="s">
        <v>20</v>
      </c>
      <c r="F183" s="4" t="s">
        <v>133</v>
      </c>
      <c r="G183" s="4">
        <v>1.0</v>
      </c>
      <c r="H183" s="6">
        <v>281.64</v>
      </c>
      <c r="I183" s="6">
        <v>281.64</v>
      </c>
      <c r="J183" s="6">
        <v>201.43</v>
      </c>
      <c r="K183" s="6">
        <v>80.21</v>
      </c>
      <c r="L183" s="4" t="str">
        <f t="shared" si="1"/>
        <v>Mar-2025</v>
      </c>
    </row>
    <row r="184" ht="15.75" customHeight="1">
      <c r="A184" s="4" t="s">
        <v>351</v>
      </c>
      <c r="B184" s="5">
        <v>45718.0</v>
      </c>
      <c r="C184" s="4" t="s">
        <v>38</v>
      </c>
      <c r="D184" s="4" t="s">
        <v>19</v>
      </c>
      <c r="E184" s="4" t="s">
        <v>25</v>
      </c>
      <c r="F184" s="4" t="s">
        <v>352</v>
      </c>
      <c r="G184" s="4">
        <v>1.0</v>
      </c>
      <c r="H184" s="6">
        <v>19376.62</v>
      </c>
      <c r="I184" s="6">
        <v>19376.62</v>
      </c>
      <c r="J184" s="6">
        <v>16270.2</v>
      </c>
      <c r="K184" s="6">
        <v>3106.42</v>
      </c>
      <c r="L184" s="4" t="str">
        <f t="shared" si="1"/>
        <v>Mar-2025</v>
      </c>
    </row>
    <row r="185" ht="15.75" customHeight="1">
      <c r="A185" s="4" t="s">
        <v>353</v>
      </c>
      <c r="B185" s="5">
        <v>45718.0</v>
      </c>
      <c r="C185" s="4" t="s">
        <v>41</v>
      </c>
      <c r="D185" s="4" t="s">
        <v>42</v>
      </c>
      <c r="E185" s="4" t="s">
        <v>29</v>
      </c>
      <c r="F185" s="4" t="s">
        <v>354</v>
      </c>
      <c r="G185" s="4">
        <v>7.0</v>
      </c>
      <c r="H185" s="6">
        <v>2107.0</v>
      </c>
      <c r="I185" s="6">
        <v>14749.0</v>
      </c>
      <c r="J185" s="6">
        <v>13100.79</v>
      </c>
      <c r="K185" s="6">
        <v>1648.21</v>
      </c>
      <c r="L185" s="4" t="str">
        <f t="shared" si="1"/>
        <v>Mar-2025</v>
      </c>
    </row>
    <row r="186" ht="15.75" customHeight="1">
      <c r="A186" s="4" t="s">
        <v>355</v>
      </c>
      <c r="B186" s="5">
        <v>45720.0</v>
      </c>
      <c r="C186" s="4" t="s">
        <v>38</v>
      </c>
      <c r="D186" s="4" t="s">
        <v>19</v>
      </c>
      <c r="E186" s="4" t="s">
        <v>29</v>
      </c>
      <c r="F186" s="4" t="s">
        <v>356</v>
      </c>
      <c r="G186" s="4">
        <v>4.0</v>
      </c>
      <c r="H186" s="6">
        <v>52245.47</v>
      </c>
      <c r="I186" s="6">
        <v>208981.88</v>
      </c>
      <c r="J186" s="6">
        <v>176006.98</v>
      </c>
      <c r="K186" s="6">
        <v>32974.9</v>
      </c>
      <c r="L186" s="4" t="str">
        <f t="shared" si="1"/>
        <v>Mar-2025</v>
      </c>
    </row>
    <row r="187" ht="15.75" customHeight="1">
      <c r="A187" s="4" t="s">
        <v>357</v>
      </c>
      <c r="B187" s="5">
        <v>45720.0</v>
      </c>
      <c r="C187" s="4" t="s">
        <v>47</v>
      </c>
      <c r="D187" s="4" t="s">
        <v>14</v>
      </c>
      <c r="E187" s="4" t="s">
        <v>20</v>
      </c>
      <c r="F187" s="4" t="s">
        <v>67</v>
      </c>
      <c r="G187" s="4">
        <v>2.0</v>
      </c>
      <c r="H187" s="6">
        <v>983.15</v>
      </c>
      <c r="I187" s="6">
        <v>1966.3</v>
      </c>
      <c r="J187" s="6">
        <v>1541.23</v>
      </c>
      <c r="K187" s="6">
        <v>425.07</v>
      </c>
      <c r="L187" s="4" t="str">
        <f t="shared" si="1"/>
        <v>Mar-2025</v>
      </c>
    </row>
    <row r="188" ht="15.75" customHeight="1">
      <c r="A188" s="4" t="s">
        <v>358</v>
      </c>
      <c r="B188" s="5">
        <v>45720.0</v>
      </c>
      <c r="C188" s="4" t="s">
        <v>109</v>
      </c>
      <c r="D188" s="4" t="s">
        <v>42</v>
      </c>
      <c r="E188" s="4" t="s">
        <v>15</v>
      </c>
      <c r="F188" s="4" t="s">
        <v>359</v>
      </c>
      <c r="G188" s="4">
        <v>4.0</v>
      </c>
      <c r="H188" s="6">
        <v>3035.92</v>
      </c>
      <c r="I188" s="6">
        <v>12143.68</v>
      </c>
      <c r="J188" s="6">
        <v>10786.64</v>
      </c>
      <c r="K188" s="6">
        <v>1357.04</v>
      </c>
      <c r="L188" s="4" t="str">
        <f t="shared" si="1"/>
        <v>Mar-2025</v>
      </c>
    </row>
    <row r="189" ht="15.75" customHeight="1">
      <c r="A189" s="4" t="s">
        <v>360</v>
      </c>
      <c r="B189" s="5">
        <v>45720.0</v>
      </c>
      <c r="C189" s="4" t="s">
        <v>41</v>
      </c>
      <c r="D189" s="4" t="s">
        <v>42</v>
      </c>
      <c r="E189" s="4" t="s">
        <v>25</v>
      </c>
      <c r="F189" s="4" t="s">
        <v>248</v>
      </c>
      <c r="G189" s="4">
        <v>2.0</v>
      </c>
      <c r="H189" s="6">
        <v>250.46</v>
      </c>
      <c r="I189" s="6">
        <v>500.92</v>
      </c>
      <c r="J189" s="6">
        <v>410.59</v>
      </c>
      <c r="K189" s="6">
        <v>90.33</v>
      </c>
      <c r="L189" s="4" t="str">
        <f t="shared" si="1"/>
        <v>Mar-2025</v>
      </c>
    </row>
    <row r="190" ht="15.75" customHeight="1">
      <c r="A190" s="4" t="s">
        <v>361</v>
      </c>
      <c r="B190" s="5">
        <v>45721.0</v>
      </c>
      <c r="C190" s="4" t="s">
        <v>155</v>
      </c>
      <c r="D190" s="4" t="s">
        <v>24</v>
      </c>
      <c r="E190" s="4" t="s">
        <v>25</v>
      </c>
      <c r="F190" s="4" t="s">
        <v>362</v>
      </c>
      <c r="G190" s="4">
        <v>5.0</v>
      </c>
      <c r="H190" s="6">
        <v>3651.4</v>
      </c>
      <c r="I190" s="6">
        <v>18257.0</v>
      </c>
      <c r="J190" s="6">
        <v>14710.76</v>
      </c>
      <c r="K190" s="6">
        <v>3546.24</v>
      </c>
      <c r="L190" s="4" t="str">
        <f t="shared" si="1"/>
        <v>Mar-2025</v>
      </c>
    </row>
    <row r="191" ht="15.75" customHeight="1">
      <c r="A191" s="4" t="s">
        <v>363</v>
      </c>
      <c r="B191" s="5">
        <v>45722.0</v>
      </c>
      <c r="C191" s="4" t="s">
        <v>35</v>
      </c>
      <c r="D191" s="4" t="s">
        <v>14</v>
      </c>
      <c r="E191" s="4" t="s">
        <v>25</v>
      </c>
      <c r="F191" s="4" t="s">
        <v>343</v>
      </c>
      <c r="G191" s="4">
        <v>1.0</v>
      </c>
      <c r="H191" s="6">
        <v>406.7</v>
      </c>
      <c r="I191" s="6">
        <v>406.7</v>
      </c>
      <c r="J191" s="6">
        <v>297.1</v>
      </c>
      <c r="K191" s="6">
        <v>109.6</v>
      </c>
      <c r="L191" s="4" t="str">
        <f t="shared" si="1"/>
        <v>Mar-2025</v>
      </c>
    </row>
    <row r="192" ht="15.75" customHeight="1">
      <c r="A192" s="4" t="s">
        <v>364</v>
      </c>
      <c r="B192" s="5">
        <v>45722.0</v>
      </c>
      <c r="C192" s="4" t="s">
        <v>75</v>
      </c>
      <c r="D192" s="4" t="s">
        <v>24</v>
      </c>
      <c r="E192" s="4" t="s">
        <v>15</v>
      </c>
      <c r="F192" s="4" t="s">
        <v>365</v>
      </c>
      <c r="G192" s="4">
        <v>2.0</v>
      </c>
      <c r="H192" s="6">
        <v>9299.65</v>
      </c>
      <c r="I192" s="6">
        <v>18599.3</v>
      </c>
      <c r="J192" s="6">
        <v>13917.43</v>
      </c>
      <c r="K192" s="6">
        <v>4681.87</v>
      </c>
      <c r="L192" s="4" t="str">
        <f t="shared" si="1"/>
        <v>Mar-2025</v>
      </c>
    </row>
    <row r="193" ht="15.75" customHeight="1">
      <c r="A193" s="4" t="s">
        <v>366</v>
      </c>
      <c r="B193" s="5">
        <v>45722.0</v>
      </c>
      <c r="C193" s="4" t="s">
        <v>180</v>
      </c>
      <c r="D193" s="4" t="s">
        <v>19</v>
      </c>
      <c r="E193" s="4" t="s">
        <v>25</v>
      </c>
      <c r="F193" s="4" t="s">
        <v>59</v>
      </c>
      <c r="G193" s="4">
        <v>2.0</v>
      </c>
      <c r="H193" s="6">
        <v>18697.15</v>
      </c>
      <c r="I193" s="6">
        <v>37394.3</v>
      </c>
      <c r="J193" s="6">
        <v>30023.7</v>
      </c>
      <c r="K193" s="6">
        <v>7370.6</v>
      </c>
      <c r="L193" s="4" t="str">
        <f t="shared" si="1"/>
        <v>Mar-2025</v>
      </c>
    </row>
    <row r="194" ht="15.75" customHeight="1">
      <c r="A194" s="4" t="s">
        <v>367</v>
      </c>
      <c r="B194" s="5">
        <v>45722.0</v>
      </c>
      <c r="C194" s="4" t="s">
        <v>18</v>
      </c>
      <c r="D194" s="4" t="s">
        <v>19</v>
      </c>
      <c r="E194" s="4" t="s">
        <v>25</v>
      </c>
      <c r="F194" s="4" t="s">
        <v>295</v>
      </c>
      <c r="G194" s="4">
        <v>5.0</v>
      </c>
      <c r="H194" s="6">
        <v>70970.8</v>
      </c>
      <c r="I194" s="6">
        <v>354854.0</v>
      </c>
      <c r="J194" s="6">
        <v>290271.62</v>
      </c>
      <c r="K194" s="6">
        <v>64582.38</v>
      </c>
      <c r="L194" s="4" t="str">
        <f t="shared" si="1"/>
        <v>Mar-2025</v>
      </c>
    </row>
    <row r="195" ht="15.75" customHeight="1">
      <c r="A195" s="4" t="s">
        <v>368</v>
      </c>
      <c r="B195" s="5">
        <v>45722.0</v>
      </c>
      <c r="C195" s="4" t="s">
        <v>13</v>
      </c>
      <c r="D195" s="4" t="s">
        <v>14</v>
      </c>
      <c r="E195" s="4" t="s">
        <v>25</v>
      </c>
      <c r="F195" s="4" t="s">
        <v>369</v>
      </c>
      <c r="G195" s="4">
        <v>1.0</v>
      </c>
      <c r="H195" s="6">
        <v>839.09</v>
      </c>
      <c r="I195" s="6">
        <v>839.09</v>
      </c>
      <c r="J195" s="6">
        <v>637.03</v>
      </c>
      <c r="K195" s="6">
        <v>202.06</v>
      </c>
      <c r="L195" s="4" t="str">
        <f t="shared" si="1"/>
        <v>Mar-2025</v>
      </c>
    </row>
    <row r="196" ht="15.75" customHeight="1">
      <c r="A196" s="4" t="s">
        <v>370</v>
      </c>
      <c r="B196" s="5">
        <v>45723.0</v>
      </c>
      <c r="C196" s="4" t="s">
        <v>140</v>
      </c>
      <c r="D196" s="4" t="s">
        <v>14</v>
      </c>
      <c r="E196" s="4" t="s">
        <v>29</v>
      </c>
      <c r="F196" s="4" t="s">
        <v>371</v>
      </c>
      <c r="G196" s="4">
        <v>7.0</v>
      </c>
      <c r="H196" s="6">
        <v>247.74</v>
      </c>
      <c r="I196" s="6">
        <v>1734.18</v>
      </c>
      <c r="J196" s="6">
        <v>1300.14</v>
      </c>
      <c r="K196" s="6">
        <v>434.04</v>
      </c>
      <c r="L196" s="4" t="str">
        <f t="shared" si="1"/>
        <v>Mar-2025</v>
      </c>
    </row>
    <row r="197" ht="15.75" customHeight="1">
      <c r="A197" s="4" t="s">
        <v>372</v>
      </c>
      <c r="B197" s="5">
        <v>45723.0</v>
      </c>
      <c r="C197" s="4" t="s">
        <v>155</v>
      </c>
      <c r="D197" s="4" t="s">
        <v>24</v>
      </c>
      <c r="E197" s="4" t="s">
        <v>29</v>
      </c>
      <c r="F197" s="4" t="s">
        <v>373</v>
      </c>
      <c r="G197" s="4">
        <v>4.0</v>
      </c>
      <c r="H197" s="6">
        <v>15003.76</v>
      </c>
      <c r="I197" s="6">
        <v>60015.04</v>
      </c>
      <c r="J197" s="6">
        <v>45189.95</v>
      </c>
      <c r="K197" s="6">
        <v>14825.09</v>
      </c>
      <c r="L197" s="4" t="str">
        <f t="shared" si="1"/>
        <v>Mar-2025</v>
      </c>
    </row>
    <row r="198" ht="15.75" customHeight="1">
      <c r="A198" s="4" t="s">
        <v>374</v>
      </c>
      <c r="B198" s="5">
        <v>45724.0</v>
      </c>
      <c r="C198" s="4" t="s">
        <v>72</v>
      </c>
      <c r="D198" s="4" t="s">
        <v>24</v>
      </c>
      <c r="E198" s="4" t="s">
        <v>20</v>
      </c>
      <c r="F198" s="4" t="s">
        <v>375</v>
      </c>
      <c r="G198" s="4">
        <v>7.0</v>
      </c>
      <c r="H198" s="6">
        <v>3185.8</v>
      </c>
      <c r="I198" s="6">
        <v>22300.6</v>
      </c>
      <c r="J198" s="6">
        <v>17720.14</v>
      </c>
      <c r="K198" s="6">
        <v>4580.46</v>
      </c>
      <c r="L198" s="4" t="str">
        <f t="shared" si="1"/>
        <v>Mar-2025</v>
      </c>
    </row>
    <row r="199" ht="15.75" customHeight="1">
      <c r="A199" s="4" t="s">
        <v>376</v>
      </c>
      <c r="B199" s="5">
        <v>45724.0</v>
      </c>
      <c r="C199" s="4" t="s">
        <v>35</v>
      </c>
      <c r="D199" s="4" t="s">
        <v>14</v>
      </c>
      <c r="E199" s="4" t="s">
        <v>29</v>
      </c>
      <c r="F199" s="4" t="s">
        <v>377</v>
      </c>
      <c r="G199" s="4">
        <v>6.0</v>
      </c>
      <c r="H199" s="6">
        <v>76.86</v>
      </c>
      <c r="I199" s="6">
        <v>461.16</v>
      </c>
      <c r="J199" s="6">
        <v>354.07</v>
      </c>
      <c r="K199" s="6">
        <v>107.09</v>
      </c>
      <c r="L199" s="4" t="str">
        <f t="shared" si="1"/>
        <v>Mar-2025</v>
      </c>
    </row>
    <row r="200" ht="15.75" customHeight="1">
      <c r="A200" s="4" t="s">
        <v>378</v>
      </c>
      <c r="B200" s="5">
        <v>45724.0</v>
      </c>
      <c r="C200" s="4" t="s">
        <v>92</v>
      </c>
      <c r="D200" s="4" t="s">
        <v>14</v>
      </c>
      <c r="E200" s="4" t="s">
        <v>15</v>
      </c>
      <c r="F200" s="4" t="s">
        <v>373</v>
      </c>
      <c r="G200" s="4">
        <v>6.0</v>
      </c>
      <c r="H200" s="6">
        <v>431.18</v>
      </c>
      <c r="I200" s="6">
        <v>2587.08</v>
      </c>
      <c r="J200" s="6">
        <v>1982.58</v>
      </c>
      <c r="K200" s="6">
        <v>604.5</v>
      </c>
      <c r="L200" s="4" t="str">
        <f t="shared" si="1"/>
        <v>Mar-2025</v>
      </c>
    </row>
    <row r="201" ht="15.75" customHeight="1">
      <c r="A201" s="4" t="s">
        <v>379</v>
      </c>
      <c r="B201" s="5">
        <v>45724.0</v>
      </c>
      <c r="C201" s="4" t="s">
        <v>72</v>
      </c>
      <c r="D201" s="4" t="s">
        <v>24</v>
      </c>
      <c r="E201" s="4" t="s">
        <v>25</v>
      </c>
      <c r="F201" s="4" t="s">
        <v>127</v>
      </c>
      <c r="G201" s="4">
        <v>6.0</v>
      </c>
      <c r="H201" s="6">
        <v>1739.67</v>
      </c>
      <c r="I201" s="6">
        <v>10438.02</v>
      </c>
      <c r="J201" s="6">
        <v>8104.05</v>
      </c>
      <c r="K201" s="6">
        <v>2333.97</v>
      </c>
      <c r="L201" s="4" t="str">
        <f t="shared" si="1"/>
        <v>Mar-2025</v>
      </c>
    </row>
    <row r="202" ht="15.75" customHeight="1">
      <c r="A202" s="4" t="s">
        <v>380</v>
      </c>
      <c r="B202" s="5">
        <v>45725.0</v>
      </c>
      <c r="C202" s="4" t="s">
        <v>66</v>
      </c>
      <c r="D202" s="4" t="s">
        <v>42</v>
      </c>
      <c r="E202" s="4" t="s">
        <v>29</v>
      </c>
      <c r="F202" s="4" t="s">
        <v>295</v>
      </c>
      <c r="G202" s="4">
        <v>6.0</v>
      </c>
      <c r="H202" s="6">
        <v>286.14</v>
      </c>
      <c r="I202" s="6">
        <v>1716.84</v>
      </c>
      <c r="J202" s="6">
        <v>1479.36</v>
      </c>
      <c r="K202" s="6">
        <v>237.48</v>
      </c>
      <c r="L202" s="4" t="str">
        <f t="shared" si="1"/>
        <v>Mar-2025</v>
      </c>
    </row>
    <row r="203" ht="15.75" customHeight="1">
      <c r="A203" s="4" t="s">
        <v>381</v>
      </c>
      <c r="B203" s="5">
        <v>45725.0</v>
      </c>
      <c r="C203" s="4" t="s">
        <v>28</v>
      </c>
      <c r="D203" s="4" t="s">
        <v>14</v>
      </c>
      <c r="E203" s="4" t="s">
        <v>20</v>
      </c>
      <c r="F203" s="4" t="s">
        <v>382</v>
      </c>
      <c r="G203" s="4">
        <v>2.0</v>
      </c>
      <c r="H203" s="6">
        <v>110.07</v>
      </c>
      <c r="I203" s="6">
        <v>220.14</v>
      </c>
      <c r="J203" s="6">
        <v>151.07</v>
      </c>
      <c r="K203" s="6">
        <v>69.07</v>
      </c>
      <c r="L203" s="4" t="str">
        <f t="shared" si="1"/>
        <v>Mar-2025</v>
      </c>
    </row>
    <row r="204" ht="15.75" customHeight="1">
      <c r="A204" s="4" t="s">
        <v>383</v>
      </c>
      <c r="B204" s="5">
        <v>45725.0</v>
      </c>
      <c r="C204" s="4" t="s">
        <v>180</v>
      </c>
      <c r="D204" s="4" t="s">
        <v>19</v>
      </c>
      <c r="E204" s="4" t="s">
        <v>25</v>
      </c>
      <c r="F204" s="4" t="s">
        <v>384</v>
      </c>
      <c r="G204" s="4">
        <v>4.0</v>
      </c>
      <c r="H204" s="6">
        <v>35695.07</v>
      </c>
      <c r="I204" s="6">
        <v>142780.28</v>
      </c>
      <c r="J204" s="6">
        <v>121606.23</v>
      </c>
      <c r="K204" s="6">
        <v>21174.05</v>
      </c>
      <c r="L204" s="4" t="str">
        <f t="shared" si="1"/>
        <v>Mar-2025</v>
      </c>
    </row>
    <row r="205" ht="15.75" customHeight="1">
      <c r="A205" s="4" t="s">
        <v>385</v>
      </c>
      <c r="B205" s="5">
        <v>45725.0</v>
      </c>
      <c r="C205" s="4" t="s">
        <v>155</v>
      </c>
      <c r="D205" s="4" t="s">
        <v>24</v>
      </c>
      <c r="E205" s="4" t="s">
        <v>15</v>
      </c>
      <c r="F205" s="4" t="s">
        <v>386</v>
      </c>
      <c r="G205" s="4">
        <v>3.0</v>
      </c>
      <c r="H205" s="6">
        <v>11307.53</v>
      </c>
      <c r="I205" s="6">
        <v>33922.59</v>
      </c>
      <c r="J205" s="6">
        <v>28225.39</v>
      </c>
      <c r="K205" s="6">
        <v>5697.2</v>
      </c>
      <c r="L205" s="4" t="str">
        <f t="shared" si="1"/>
        <v>Mar-2025</v>
      </c>
    </row>
    <row r="206" ht="15.75" customHeight="1">
      <c r="A206" s="4" t="s">
        <v>387</v>
      </c>
      <c r="B206" s="5">
        <v>45725.0</v>
      </c>
      <c r="C206" s="4" t="s">
        <v>180</v>
      </c>
      <c r="D206" s="4" t="s">
        <v>19</v>
      </c>
      <c r="E206" s="4" t="s">
        <v>25</v>
      </c>
      <c r="F206" s="4" t="s">
        <v>26</v>
      </c>
      <c r="G206" s="4">
        <v>3.0</v>
      </c>
      <c r="H206" s="6">
        <v>63957.13</v>
      </c>
      <c r="I206" s="6">
        <v>191871.39</v>
      </c>
      <c r="J206" s="6">
        <v>161062.42</v>
      </c>
      <c r="K206" s="6">
        <v>30808.97</v>
      </c>
      <c r="L206" s="4" t="str">
        <f t="shared" si="1"/>
        <v>Mar-2025</v>
      </c>
    </row>
    <row r="207" ht="15.75" customHeight="1">
      <c r="A207" s="4" t="s">
        <v>388</v>
      </c>
      <c r="B207" s="5">
        <v>45725.0</v>
      </c>
      <c r="C207" s="4" t="s">
        <v>69</v>
      </c>
      <c r="D207" s="4" t="s">
        <v>19</v>
      </c>
      <c r="E207" s="4" t="s">
        <v>15</v>
      </c>
      <c r="F207" s="4" t="s">
        <v>107</v>
      </c>
      <c r="G207" s="4">
        <v>5.0</v>
      </c>
      <c r="H207" s="6">
        <v>37017.35</v>
      </c>
      <c r="I207" s="6">
        <v>185086.75</v>
      </c>
      <c r="J207" s="6">
        <v>156277.3</v>
      </c>
      <c r="K207" s="6">
        <v>28809.45</v>
      </c>
      <c r="L207" s="4" t="str">
        <f t="shared" si="1"/>
        <v>Mar-2025</v>
      </c>
    </row>
    <row r="208" ht="15.75" customHeight="1">
      <c r="A208" s="4" t="s">
        <v>389</v>
      </c>
      <c r="B208" s="5">
        <v>45726.0</v>
      </c>
      <c r="C208" s="4" t="s">
        <v>160</v>
      </c>
      <c r="D208" s="4" t="s">
        <v>42</v>
      </c>
      <c r="E208" s="4" t="s">
        <v>29</v>
      </c>
      <c r="F208" s="4" t="s">
        <v>76</v>
      </c>
      <c r="G208" s="4">
        <v>6.0</v>
      </c>
      <c r="H208" s="6">
        <v>2797.58</v>
      </c>
      <c r="I208" s="6">
        <v>16785.48</v>
      </c>
      <c r="J208" s="6">
        <v>14455.7</v>
      </c>
      <c r="K208" s="6">
        <v>2329.78</v>
      </c>
      <c r="L208" s="4" t="str">
        <f t="shared" si="1"/>
        <v>Mar-2025</v>
      </c>
    </row>
    <row r="209" ht="15.75" customHeight="1">
      <c r="A209" s="4" t="s">
        <v>390</v>
      </c>
      <c r="B209" s="5">
        <v>45726.0</v>
      </c>
      <c r="C209" s="4" t="s">
        <v>102</v>
      </c>
      <c r="D209" s="4" t="s">
        <v>24</v>
      </c>
      <c r="E209" s="4" t="s">
        <v>20</v>
      </c>
      <c r="F209" s="4" t="s">
        <v>203</v>
      </c>
      <c r="G209" s="4">
        <v>4.0</v>
      </c>
      <c r="H209" s="6">
        <v>5024.26</v>
      </c>
      <c r="I209" s="6">
        <v>20097.04</v>
      </c>
      <c r="J209" s="6">
        <v>15963.31</v>
      </c>
      <c r="K209" s="6">
        <v>4133.73</v>
      </c>
      <c r="L209" s="4" t="str">
        <f t="shared" si="1"/>
        <v>Mar-2025</v>
      </c>
    </row>
    <row r="210" ht="15.75" customHeight="1">
      <c r="A210" s="4" t="s">
        <v>391</v>
      </c>
      <c r="B210" s="5">
        <v>45726.0</v>
      </c>
      <c r="C210" s="4" t="s">
        <v>35</v>
      </c>
      <c r="D210" s="4" t="s">
        <v>14</v>
      </c>
      <c r="E210" s="4" t="s">
        <v>29</v>
      </c>
      <c r="F210" s="4" t="s">
        <v>392</v>
      </c>
      <c r="G210" s="4">
        <v>2.0</v>
      </c>
      <c r="H210" s="6">
        <v>730.09</v>
      </c>
      <c r="I210" s="6">
        <v>1460.18</v>
      </c>
      <c r="J210" s="6">
        <v>1163.79</v>
      </c>
      <c r="K210" s="6">
        <v>296.39</v>
      </c>
      <c r="L210" s="4" t="str">
        <f t="shared" si="1"/>
        <v>Mar-2025</v>
      </c>
    </row>
    <row r="211" ht="15.75" customHeight="1">
      <c r="A211" s="4" t="s">
        <v>393</v>
      </c>
      <c r="B211" s="5">
        <v>45726.0</v>
      </c>
      <c r="C211" s="4" t="s">
        <v>47</v>
      </c>
      <c r="D211" s="4" t="s">
        <v>14</v>
      </c>
      <c r="E211" s="4" t="s">
        <v>25</v>
      </c>
      <c r="F211" s="4" t="s">
        <v>394</v>
      </c>
      <c r="G211" s="4">
        <v>3.0</v>
      </c>
      <c r="H211" s="6">
        <v>315.19</v>
      </c>
      <c r="I211" s="6">
        <v>945.57</v>
      </c>
      <c r="J211" s="6">
        <v>648.63</v>
      </c>
      <c r="K211" s="6">
        <v>296.94</v>
      </c>
      <c r="L211" s="4" t="str">
        <f t="shared" si="1"/>
        <v>Mar-2025</v>
      </c>
    </row>
    <row r="212" ht="15.75" customHeight="1">
      <c r="A212" s="4" t="s">
        <v>395</v>
      </c>
      <c r="B212" s="5">
        <v>45727.0</v>
      </c>
      <c r="C212" s="4" t="s">
        <v>28</v>
      </c>
      <c r="D212" s="4" t="s">
        <v>14</v>
      </c>
      <c r="E212" s="4" t="s">
        <v>20</v>
      </c>
      <c r="F212" s="4" t="s">
        <v>396</v>
      </c>
      <c r="G212" s="4">
        <v>2.0</v>
      </c>
      <c r="H212" s="6">
        <v>128.05</v>
      </c>
      <c r="I212" s="6">
        <v>256.1</v>
      </c>
      <c r="J212" s="6">
        <v>200.63</v>
      </c>
      <c r="K212" s="6">
        <v>55.47</v>
      </c>
      <c r="L212" s="4" t="str">
        <f t="shared" si="1"/>
        <v>Mar-2025</v>
      </c>
    </row>
    <row r="213" ht="15.75" customHeight="1">
      <c r="A213" s="4" t="s">
        <v>397</v>
      </c>
      <c r="B213" s="5">
        <v>45728.0</v>
      </c>
      <c r="C213" s="4" t="s">
        <v>75</v>
      </c>
      <c r="D213" s="4" t="s">
        <v>24</v>
      </c>
      <c r="E213" s="4" t="s">
        <v>25</v>
      </c>
      <c r="F213" s="4" t="s">
        <v>127</v>
      </c>
      <c r="G213" s="4">
        <v>5.0</v>
      </c>
      <c r="H213" s="6">
        <v>11147.09</v>
      </c>
      <c r="I213" s="6">
        <v>55735.45</v>
      </c>
      <c r="J213" s="6">
        <v>41926.07</v>
      </c>
      <c r="K213" s="6">
        <v>13809.38</v>
      </c>
      <c r="L213" s="4" t="str">
        <f t="shared" si="1"/>
        <v>Mar-2025</v>
      </c>
    </row>
    <row r="214" ht="15.75" customHeight="1">
      <c r="A214" s="4" t="s">
        <v>398</v>
      </c>
      <c r="B214" s="5">
        <v>45728.0</v>
      </c>
      <c r="C214" s="4" t="s">
        <v>102</v>
      </c>
      <c r="D214" s="4" t="s">
        <v>24</v>
      </c>
      <c r="E214" s="4" t="s">
        <v>25</v>
      </c>
      <c r="F214" s="4" t="s">
        <v>399</v>
      </c>
      <c r="G214" s="4">
        <v>2.0</v>
      </c>
      <c r="H214" s="6">
        <v>9640.47</v>
      </c>
      <c r="I214" s="6">
        <v>19280.94</v>
      </c>
      <c r="J214" s="6">
        <v>15021.55</v>
      </c>
      <c r="K214" s="6">
        <v>4259.39</v>
      </c>
      <c r="L214" s="4" t="str">
        <f t="shared" si="1"/>
        <v>Mar-2025</v>
      </c>
    </row>
    <row r="215" ht="15.75" customHeight="1">
      <c r="A215" s="4" t="s">
        <v>400</v>
      </c>
      <c r="B215" s="5">
        <v>45728.0</v>
      </c>
      <c r="C215" s="4" t="s">
        <v>61</v>
      </c>
      <c r="D215" s="4" t="s">
        <v>19</v>
      </c>
      <c r="E215" s="4" t="s">
        <v>29</v>
      </c>
      <c r="F215" s="4" t="s">
        <v>45</v>
      </c>
      <c r="G215" s="4">
        <v>2.0</v>
      </c>
      <c r="H215" s="6">
        <v>41894.64</v>
      </c>
      <c r="I215" s="6">
        <v>83789.28</v>
      </c>
      <c r="J215" s="6">
        <v>71759.4</v>
      </c>
      <c r="K215" s="6">
        <v>12029.88</v>
      </c>
      <c r="L215" s="4" t="str">
        <f t="shared" si="1"/>
        <v>Mar-2025</v>
      </c>
    </row>
    <row r="216" ht="15.75" customHeight="1">
      <c r="A216" s="4" t="s">
        <v>404</v>
      </c>
      <c r="B216" s="5">
        <v>45729.0</v>
      </c>
      <c r="C216" s="4" t="s">
        <v>155</v>
      </c>
      <c r="D216" s="4" t="s">
        <v>24</v>
      </c>
      <c r="E216" s="4" t="s">
        <v>25</v>
      </c>
      <c r="F216" s="4" t="s">
        <v>405</v>
      </c>
      <c r="G216" s="4">
        <v>3.0</v>
      </c>
      <c r="H216" s="6">
        <v>16693.75</v>
      </c>
      <c r="I216" s="6">
        <v>50081.25</v>
      </c>
      <c r="J216" s="6">
        <v>43964.05</v>
      </c>
      <c r="K216" s="6">
        <v>6117.2</v>
      </c>
      <c r="L216" s="4" t="str">
        <f t="shared" si="1"/>
        <v>Mar-2025</v>
      </c>
    </row>
    <row r="217" ht="15.75" customHeight="1">
      <c r="A217" s="4" t="s">
        <v>407</v>
      </c>
      <c r="B217" s="5">
        <v>45729.0</v>
      </c>
      <c r="C217" s="4" t="s">
        <v>66</v>
      </c>
      <c r="D217" s="4" t="s">
        <v>42</v>
      </c>
      <c r="E217" s="4" t="s">
        <v>15</v>
      </c>
      <c r="F217" s="4" t="s">
        <v>178</v>
      </c>
      <c r="G217" s="4">
        <v>2.0</v>
      </c>
      <c r="H217" s="6">
        <v>2750.53</v>
      </c>
      <c r="I217" s="6">
        <v>5501.06</v>
      </c>
      <c r="J217" s="6">
        <v>4562.84</v>
      </c>
      <c r="K217" s="6">
        <v>938.22</v>
      </c>
      <c r="L217" s="4" t="str">
        <f t="shared" si="1"/>
        <v>Mar-2025</v>
      </c>
    </row>
    <row r="218" ht="15.75" customHeight="1">
      <c r="A218" s="4" t="s">
        <v>411</v>
      </c>
      <c r="B218" s="5">
        <v>45729.0</v>
      </c>
      <c r="C218" s="4" t="s">
        <v>13</v>
      </c>
      <c r="D218" s="4" t="s">
        <v>14</v>
      </c>
      <c r="E218" s="4" t="s">
        <v>15</v>
      </c>
      <c r="F218" s="4" t="s">
        <v>413</v>
      </c>
      <c r="G218" s="4">
        <v>6.0</v>
      </c>
      <c r="H218" s="6">
        <v>1342.65</v>
      </c>
      <c r="I218" s="6">
        <v>8055.9</v>
      </c>
      <c r="J218" s="6">
        <v>6020.24</v>
      </c>
      <c r="K218" s="6">
        <v>2035.66</v>
      </c>
      <c r="L218" s="4" t="str">
        <f t="shared" si="1"/>
        <v>Mar-2025</v>
      </c>
    </row>
    <row r="219" ht="15.75" customHeight="1">
      <c r="A219" s="4" t="s">
        <v>416</v>
      </c>
      <c r="B219" s="5">
        <v>45729.0</v>
      </c>
      <c r="C219" s="4" t="s">
        <v>13</v>
      </c>
      <c r="D219" s="4" t="s">
        <v>14</v>
      </c>
      <c r="E219" s="4" t="s">
        <v>29</v>
      </c>
      <c r="F219" s="4" t="s">
        <v>418</v>
      </c>
      <c r="G219" s="4">
        <v>4.0</v>
      </c>
      <c r="H219" s="6">
        <v>600.64</v>
      </c>
      <c r="I219" s="6">
        <v>2402.56</v>
      </c>
      <c r="J219" s="6">
        <v>1735.54</v>
      </c>
      <c r="K219" s="6">
        <v>667.02</v>
      </c>
      <c r="L219" s="4" t="str">
        <f t="shared" si="1"/>
        <v>Mar-2025</v>
      </c>
    </row>
    <row r="220" ht="15.75" customHeight="1">
      <c r="A220" s="4" t="s">
        <v>420</v>
      </c>
      <c r="B220" s="5">
        <v>45730.0</v>
      </c>
      <c r="C220" s="4" t="s">
        <v>41</v>
      </c>
      <c r="D220" s="4" t="s">
        <v>42</v>
      </c>
      <c r="E220" s="4" t="s">
        <v>25</v>
      </c>
      <c r="F220" s="4" t="s">
        <v>422</v>
      </c>
      <c r="G220" s="4">
        <v>3.0</v>
      </c>
      <c r="H220" s="6">
        <v>1849.09</v>
      </c>
      <c r="I220" s="6">
        <v>5547.27</v>
      </c>
      <c r="J220" s="6">
        <v>4435.37</v>
      </c>
      <c r="K220" s="6">
        <v>1111.9</v>
      </c>
      <c r="L220" s="4" t="str">
        <f t="shared" si="1"/>
        <v>Mar-2025</v>
      </c>
    </row>
    <row r="221" ht="15.75" customHeight="1">
      <c r="A221" s="4" t="s">
        <v>425</v>
      </c>
      <c r="B221" s="5">
        <v>45730.0</v>
      </c>
      <c r="C221" s="4" t="s">
        <v>13</v>
      </c>
      <c r="D221" s="4" t="s">
        <v>14</v>
      </c>
      <c r="E221" s="4" t="s">
        <v>25</v>
      </c>
      <c r="F221" s="4" t="s">
        <v>238</v>
      </c>
      <c r="G221" s="4">
        <v>3.0</v>
      </c>
      <c r="H221" s="6">
        <v>447.61</v>
      </c>
      <c r="I221" s="6">
        <v>1342.83</v>
      </c>
      <c r="J221" s="6">
        <v>998.58</v>
      </c>
      <c r="K221" s="6">
        <v>344.25</v>
      </c>
      <c r="L221" s="4" t="str">
        <f t="shared" si="1"/>
        <v>Mar-2025</v>
      </c>
    </row>
    <row r="222" ht="15.75" customHeight="1">
      <c r="A222" s="4" t="s">
        <v>426</v>
      </c>
      <c r="B222" s="5">
        <v>45730.0</v>
      </c>
      <c r="C222" s="4" t="s">
        <v>72</v>
      </c>
      <c r="D222" s="4" t="s">
        <v>24</v>
      </c>
      <c r="E222" s="4" t="s">
        <v>20</v>
      </c>
      <c r="F222" s="4" t="s">
        <v>427</v>
      </c>
      <c r="G222" s="4">
        <v>1.0</v>
      </c>
      <c r="H222" s="6">
        <v>7841.33</v>
      </c>
      <c r="I222" s="6">
        <v>7841.33</v>
      </c>
      <c r="J222" s="6">
        <v>6149.75</v>
      </c>
      <c r="K222" s="6">
        <v>1691.58</v>
      </c>
      <c r="L222" s="4" t="str">
        <f t="shared" si="1"/>
        <v>Mar-2025</v>
      </c>
    </row>
    <row r="223" ht="15.75" customHeight="1">
      <c r="A223" s="4" t="s">
        <v>428</v>
      </c>
      <c r="B223" s="5">
        <v>45731.0</v>
      </c>
      <c r="C223" s="4" t="s">
        <v>66</v>
      </c>
      <c r="D223" s="4" t="s">
        <v>42</v>
      </c>
      <c r="E223" s="4" t="s">
        <v>25</v>
      </c>
      <c r="F223" s="4" t="s">
        <v>123</v>
      </c>
      <c r="G223" s="4">
        <v>1.0</v>
      </c>
      <c r="H223" s="6">
        <v>3309.0</v>
      </c>
      <c r="I223" s="6">
        <v>3309.0</v>
      </c>
      <c r="J223" s="6">
        <v>2839.76</v>
      </c>
      <c r="K223" s="6">
        <v>469.24</v>
      </c>
      <c r="L223" s="4" t="str">
        <f t="shared" si="1"/>
        <v>Mar-2025</v>
      </c>
    </row>
    <row r="224" ht="15.75" customHeight="1">
      <c r="A224" s="4" t="s">
        <v>429</v>
      </c>
      <c r="B224" s="5">
        <v>45731.0</v>
      </c>
      <c r="C224" s="4" t="s">
        <v>155</v>
      </c>
      <c r="D224" s="4" t="s">
        <v>24</v>
      </c>
      <c r="E224" s="4" t="s">
        <v>29</v>
      </c>
      <c r="F224" s="4" t="s">
        <v>295</v>
      </c>
      <c r="G224" s="4">
        <v>7.0</v>
      </c>
      <c r="H224" s="6">
        <v>9293.32</v>
      </c>
      <c r="I224" s="6">
        <v>65053.24</v>
      </c>
      <c r="J224" s="6">
        <v>55364.8</v>
      </c>
      <c r="K224" s="6">
        <v>9688.44</v>
      </c>
      <c r="L224" s="4" t="str">
        <f t="shared" si="1"/>
        <v>Mar-2025</v>
      </c>
    </row>
    <row r="225" ht="15.75" customHeight="1">
      <c r="A225" s="4" t="s">
        <v>430</v>
      </c>
      <c r="B225" s="5">
        <v>45731.0</v>
      </c>
      <c r="C225" s="4" t="s">
        <v>92</v>
      </c>
      <c r="D225" s="4" t="s">
        <v>14</v>
      </c>
      <c r="E225" s="4" t="s">
        <v>29</v>
      </c>
      <c r="F225" s="4" t="s">
        <v>171</v>
      </c>
      <c r="G225" s="4">
        <v>3.0</v>
      </c>
      <c r="H225" s="6">
        <v>176.25</v>
      </c>
      <c r="I225" s="6">
        <v>528.75</v>
      </c>
      <c r="J225" s="6">
        <v>430.83</v>
      </c>
      <c r="K225" s="6">
        <v>97.92</v>
      </c>
      <c r="L225" s="4" t="str">
        <f t="shared" si="1"/>
        <v>Mar-2025</v>
      </c>
    </row>
    <row r="226" ht="15.75" customHeight="1">
      <c r="A226" s="4" t="s">
        <v>431</v>
      </c>
      <c r="B226" s="5">
        <v>45731.0</v>
      </c>
      <c r="C226" s="4" t="s">
        <v>61</v>
      </c>
      <c r="D226" s="4" t="s">
        <v>19</v>
      </c>
      <c r="E226" s="4" t="s">
        <v>29</v>
      </c>
      <c r="F226" s="4" t="s">
        <v>311</v>
      </c>
      <c r="G226" s="4">
        <v>7.0</v>
      </c>
      <c r="H226" s="6">
        <v>23052.4</v>
      </c>
      <c r="I226" s="6">
        <v>161366.8</v>
      </c>
      <c r="J226" s="6">
        <v>136010.36</v>
      </c>
      <c r="K226" s="6">
        <v>25356.44</v>
      </c>
      <c r="L226" s="4" t="str">
        <f t="shared" si="1"/>
        <v>Mar-2025</v>
      </c>
    </row>
    <row r="227" ht="15.75" customHeight="1">
      <c r="A227" s="4" t="s">
        <v>432</v>
      </c>
      <c r="B227" s="5">
        <v>45732.0</v>
      </c>
      <c r="C227" s="4" t="s">
        <v>32</v>
      </c>
      <c r="D227" s="4" t="s">
        <v>19</v>
      </c>
      <c r="E227" s="4" t="s">
        <v>29</v>
      </c>
      <c r="F227" s="4" t="s">
        <v>103</v>
      </c>
      <c r="G227" s="4">
        <v>5.0</v>
      </c>
      <c r="H227" s="6">
        <v>60279.14</v>
      </c>
      <c r="I227" s="6">
        <v>301395.7</v>
      </c>
      <c r="J227" s="6">
        <v>248649.66</v>
      </c>
      <c r="K227" s="6">
        <v>52746.04</v>
      </c>
      <c r="L227" s="4" t="str">
        <f t="shared" si="1"/>
        <v>Mar-2025</v>
      </c>
    </row>
    <row r="228" ht="15.75" customHeight="1">
      <c r="A228" s="4" t="s">
        <v>433</v>
      </c>
      <c r="B228" s="5">
        <v>45732.0</v>
      </c>
      <c r="C228" s="4" t="s">
        <v>69</v>
      </c>
      <c r="D228" s="4" t="s">
        <v>19</v>
      </c>
      <c r="E228" s="4" t="s">
        <v>25</v>
      </c>
      <c r="F228" s="4" t="s">
        <v>434</v>
      </c>
      <c r="G228" s="4">
        <v>2.0</v>
      </c>
      <c r="H228" s="6">
        <v>3392.49</v>
      </c>
      <c r="I228" s="6">
        <v>6784.98</v>
      </c>
      <c r="J228" s="6">
        <v>5436.32</v>
      </c>
      <c r="K228" s="6">
        <v>1348.66</v>
      </c>
      <c r="L228" s="4" t="str">
        <f t="shared" si="1"/>
        <v>Mar-2025</v>
      </c>
    </row>
    <row r="229" ht="15.75" customHeight="1">
      <c r="A229" s="4" t="s">
        <v>435</v>
      </c>
      <c r="B229" s="5">
        <v>45732.0</v>
      </c>
      <c r="C229" s="4" t="s">
        <v>47</v>
      </c>
      <c r="D229" s="4" t="s">
        <v>14</v>
      </c>
      <c r="E229" s="4" t="s">
        <v>25</v>
      </c>
      <c r="F229" s="4" t="s">
        <v>436</v>
      </c>
      <c r="G229" s="4">
        <v>3.0</v>
      </c>
      <c r="H229" s="6">
        <v>966.53</v>
      </c>
      <c r="I229" s="6">
        <v>2899.59</v>
      </c>
      <c r="J229" s="6">
        <v>2461.65</v>
      </c>
      <c r="K229" s="6">
        <v>437.94</v>
      </c>
      <c r="L229" s="4" t="str">
        <f t="shared" si="1"/>
        <v>Mar-2025</v>
      </c>
    </row>
    <row r="230" ht="15.75" customHeight="1">
      <c r="A230" s="4" t="s">
        <v>437</v>
      </c>
      <c r="B230" s="5">
        <v>45732.0</v>
      </c>
      <c r="C230" s="4" t="s">
        <v>32</v>
      </c>
      <c r="D230" s="4" t="s">
        <v>19</v>
      </c>
      <c r="E230" s="4" t="s">
        <v>29</v>
      </c>
      <c r="F230" s="4" t="s">
        <v>227</v>
      </c>
      <c r="G230" s="4">
        <v>4.0</v>
      </c>
      <c r="H230" s="6">
        <v>24067.27</v>
      </c>
      <c r="I230" s="6">
        <v>96269.08</v>
      </c>
      <c r="J230" s="6">
        <v>78878.6</v>
      </c>
      <c r="K230" s="6">
        <v>17390.48</v>
      </c>
      <c r="L230" s="4" t="str">
        <f t="shared" si="1"/>
        <v>Mar-2025</v>
      </c>
    </row>
    <row r="231" ht="15.75" customHeight="1">
      <c r="A231" s="4" t="s">
        <v>438</v>
      </c>
      <c r="B231" s="5">
        <v>45732.0</v>
      </c>
      <c r="C231" s="4" t="s">
        <v>50</v>
      </c>
      <c r="D231" s="4" t="s">
        <v>42</v>
      </c>
      <c r="E231" s="4" t="s">
        <v>29</v>
      </c>
      <c r="F231" s="4" t="s">
        <v>169</v>
      </c>
      <c r="G231" s="4">
        <v>4.0</v>
      </c>
      <c r="H231" s="6">
        <v>4513.06</v>
      </c>
      <c r="I231" s="6">
        <v>18052.24</v>
      </c>
      <c r="J231" s="6">
        <v>14450.36</v>
      </c>
      <c r="K231" s="6">
        <v>3601.88</v>
      </c>
      <c r="L231" s="4" t="str">
        <f t="shared" si="1"/>
        <v>Mar-2025</v>
      </c>
    </row>
    <row r="232" ht="15.75" customHeight="1">
      <c r="A232" s="4" t="s">
        <v>439</v>
      </c>
      <c r="B232" s="5">
        <v>45732.0</v>
      </c>
      <c r="C232" s="4" t="s">
        <v>18</v>
      </c>
      <c r="D232" s="4" t="s">
        <v>19</v>
      </c>
      <c r="E232" s="4" t="s">
        <v>15</v>
      </c>
      <c r="F232" s="4" t="s">
        <v>340</v>
      </c>
      <c r="G232" s="4">
        <v>2.0</v>
      </c>
      <c r="H232" s="6">
        <v>51205.3</v>
      </c>
      <c r="I232" s="6">
        <v>102410.6</v>
      </c>
      <c r="J232" s="6">
        <v>88435.64</v>
      </c>
      <c r="K232" s="6">
        <v>13974.96</v>
      </c>
      <c r="L232" s="4" t="str">
        <f t="shared" si="1"/>
        <v>Mar-2025</v>
      </c>
    </row>
    <row r="233" ht="15.75" customHeight="1">
      <c r="A233" s="4" t="s">
        <v>440</v>
      </c>
      <c r="B233" s="5">
        <v>45732.0</v>
      </c>
      <c r="C233" s="4" t="s">
        <v>13</v>
      </c>
      <c r="D233" s="4" t="s">
        <v>14</v>
      </c>
      <c r="E233" s="4" t="s">
        <v>29</v>
      </c>
      <c r="F233" s="4" t="s">
        <v>33</v>
      </c>
      <c r="G233" s="4">
        <v>3.0</v>
      </c>
      <c r="H233" s="6">
        <v>799.66</v>
      </c>
      <c r="I233" s="6">
        <v>2398.98</v>
      </c>
      <c r="J233" s="6">
        <v>1917.85</v>
      </c>
      <c r="K233" s="6">
        <v>481.13</v>
      </c>
      <c r="L233" s="4" t="str">
        <f t="shared" si="1"/>
        <v>Mar-2025</v>
      </c>
    </row>
    <row r="234" ht="15.75" customHeight="1">
      <c r="A234" s="4" t="s">
        <v>441</v>
      </c>
      <c r="B234" s="5">
        <v>45732.0</v>
      </c>
      <c r="C234" s="4" t="s">
        <v>35</v>
      </c>
      <c r="D234" s="4" t="s">
        <v>14</v>
      </c>
      <c r="E234" s="4" t="s">
        <v>20</v>
      </c>
      <c r="F234" s="4" t="s">
        <v>145</v>
      </c>
      <c r="G234" s="4">
        <v>5.0</v>
      </c>
      <c r="H234" s="6">
        <v>128.87</v>
      </c>
      <c r="I234" s="6">
        <v>644.35</v>
      </c>
      <c r="J234" s="6">
        <v>540.05</v>
      </c>
      <c r="K234" s="6">
        <v>104.3</v>
      </c>
      <c r="L234" s="4" t="str">
        <f t="shared" si="1"/>
        <v>Mar-2025</v>
      </c>
    </row>
    <row r="235" ht="15.75" customHeight="1">
      <c r="A235" s="4" t="s">
        <v>442</v>
      </c>
      <c r="B235" s="5">
        <v>45733.0</v>
      </c>
      <c r="C235" s="4" t="s">
        <v>61</v>
      </c>
      <c r="D235" s="4" t="s">
        <v>19</v>
      </c>
      <c r="E235" s="4" t="s">
        <v>25</v>
      </c>
      <c r="F235" s="4" t="s">
        <v>359</v>
      </c>
      <c r="G235" s="4">
        <v>4.0</v>
      </c>
      <c r="H235" s="6">
        <v>71294.6</v>
      </c>
      <c r="I235" s="6">
        <v>285178.4</v>
      </c>
      <c r="J235" s="6">
        <v>229833.01</v>
      </c>
      <c r="K235" s="6">
        <v>55345.39</v>
      </c>
      <c r="L235" s="4" t="str">
        <f t="shared" si="1"/>
        <v>Mar-2025</v>
      </c>
    </row>
    <row r="236" ht="15.75" customHeight="1">
      <c r="A236" s="4" t="s">
        <v>443</v>
      </c>
      <c r="B236" s="5">
        <v>45733.0</v>
      </c>
      <c r="C236" s="4" t="s">
        <v>72</v>
      </c>
      <c r="D236" s="4" t="s">
        <v>24</v>
      </c>
      <c r="E236" s="4" t="s">
        <v>20</v>
      </c>
      <c r="F236" s="4" t="s">
        <v>444</v>
      </c>
      <c r="G236" s="4">
        <v>2.0</v>
      </c>
      <c r="H236" s="6">
        <v>3122.32</v>
      </c>
      <c r="I236" s="6">
        <v>6244.64</v>
      </c>
      <c r="J236" s="6">
        <v>5229.01</v>
      </c>
      <c r="K236" s="6">
        <v>1015.63</v>
      </c>
      <c r="L236" s="4" t="str">
        <f t="shared" si="1"/>
        <v>Mar-2025</v>
      </c>
    </row>
    <row r="237" ht="15.75" customHeight="1">
      <c r="A237" s="4" t="s">
        <v>445</v>
      </c>
      <c r="B237" s="5">
        <v>45733.0</v>
      </c>
      <c r="C237" s="4" t="s">
        <v>160</v>
      </c>
      <c r="D237" s="4" t="s">
        <v>42</v>
      </c>
      <c r="E237" s="4" t="s">
        <v>29</v>
      </c>
      <c r="F237" s="4" t="s">
        <v>446</v>
      </c>
      <c r="G237" s="4">
        <v>7.0</v>
      </c>
      <c r="H237" s="6">
        <v>3680.53</v>
      </c>
      <c r="I237" s="6">
        <v>25763.71</v>
      </c>
      <c r="J237" s="6">
        <v>20129.38</v>
      </c>
      <c r="K237" s="6">
        <v>5634.33</v>
      </c>
      <c r="L237" s="4" t="str">
        <f t="shared" si="1"/>
        <v>Mar-2025</v>
      </c>
    </row>
    <row r="238" ht="15.75" customHeight="1">
      <c r="A238" s="4" t="s">
        <v>447</v>
      </c>
      <c r="B238" s="5">
        <v>45734.0</v>
      </c>
      <c r="C238" s="4" t="s">
        <v>38</v>
      </c>
      <c r="D238" s="4" t="s">
        <v>19</v>
      </c>
      <c r="E238" s="4" t="s">
        <v>20</v>
      </c>
      <c r="F238" s="4" t="s">
        <v>448</v>
      </c>
      <c r="G238" s="4">
        <v>2.0</v>
      </c>
      <c r="H238" s="6">
        <v>52607.59</v>
      </c>
      <c r="I238" s="6">
        <v>105215.18</v>
      </c>
      <c r="J238" s="6">
        <v>88922.33</v>
      </c>
      <c r="K238" s="6">
        <v>16292.85</v>
      </c>
      <c r="L238" s="4" t="str">
        <f t="shared" si="1"/>
        <v>Mar-2025</v>
      </c>
    </row>
    <row r="239" ht="15.75" customHeight="1">
      <c r="A239" s="4" t="s">
        <v>449</v>
      </c>
      <c r="B239" s="5">
        <v>45734.0</v>
      </c>
      <c r="C239" s="4" t="s">
        <v>18</v>
      </c>
      <c r="D239" s="4" t="s">
        <v>19</v>
      </c>
      <c r="E239" s="4" t="s">
        <v>29</v>
      </c>
      <c r="F239" s="4" t="s">
        <v>450</v>
      </c>
      <c r="G239" s="4">
        <v>2.0</v>
      </c>
      <c r="H239" s="6">
        <v>52499.21</v>
      </c>
      <c r="I239" s="6">
        <v>104998.42</v>
      </c>
      <c r="J239" s="6">
        <v>95380.89</v>
      </c>
      <c r="K239" s="6">
        <v>9617.53</v>
      </c>
      <c r="L239" s="4" t="str">
        <f t="shared" si="1"/>
        <v>Mar-2025</v>
      </c>
    </row>
    <row r="240" ht="15.75" customHeight="1">
      <c r="A240" s="4" t="s">
        <v>451</v>
      </c>
      <c r="B240" s="5">
        <v>45734.0</v>
      </c>
      <c r="C240" s="4" t="s">
        <v>109</v>
      </c>
      <c r="D240" s="4" t="s">
        <v>42</v>
      </c>
      <c r="E240" s="4" t="s">
        <v>25</v>
      </c>
      <c r="F240" s="4" t="s">
        <v>452</v>
      </c>
      <c r="G240" s="4">
        <v>5.0</v>
      </c>
      <c r="H240" s="6">
        <v>2037.1</v>
      </c>
      <c r="I240" s="6">
        <v>10185.5</v>
      </c>
      <c r="J240" s="6">
        <v>8345.46</v>
      </c>
      <c r="K240" s="6">
        <v>1840.04</v>
      </c>
      <c r="L240" s="4" t="str">
        <f t="shared" si="1"/>
        <v>Mar-2025</v>
      </c>
    </row>
    <row r="241" ht="15.75" customHeight="1">
      <c r="A241" s="4" t="s">
        <v>453</v>
      </c>
      <c r="B241" s="5">
        <v>45734.0</v>
      </c>
      <c r="C241" s="4" t="s">
        <v>69</v>
      </c>
      <c r="D241" s="4" t="s">
        <v>19</v>
      </c>
      <c r="E241" s="4" t="s">
        <v>15</v>
      </c>
      <c r="F241" s="4" t="s">
        <v>295</v>
      </c>
      <c r="G241" s="4">
        <v>6.0</v>
      </c>
      <c r="H241" s="6">
        <v>11319.66</v>
      </c>
      <c r="I241" s="6">
        <v>67917.96</v>
      </c>
      <c r="J241" s="6">
        <v>60246.98</v>
      </c>
      <c r="K241" s="6">
        <v>7670.98</v>
      </c>
      <c r="L241" s="4" t="str">
        <f t="shared" si="1"/>
        <v>Mar-2025</v>
      </c>
    </row>
    <row r="242" ht="15.75" customHeight="1">
      <c r="A242" s="4" t="s">
        <v>454</v>
      </c>
      <c r="B242" s="5">
        <v>45735.0</v>
      </c>
      <c r="C242" s="4" t="s">
        <v>92</v>
      </c>
      <c r="D242" s="4" t="s">
        <v>14</v>
      </c>
      <c r="E242" s="4" t="s">
        <v>15</v>
      </c>
      <c r="F242" s="4" t="s">
        <v>243</v>
      </c>
      <c r="G242" s="4">
        <v>4.0</v>
      </c>
      <c r="H242" s="6">
        <v>852.91</v>
      </c>
      <c r="I242" s="6">
        <v>3411.64</v>
      </c>
      <c r="J242" s="6">
        <v>2449.28</v>
      </c>
      <c r="K242" s="6">
        <v>962.36</v>
      </c>
      <c r="L242" s="4" t="str">
        <f t="shared" si="1"/>
        <v>Mar-2025</v>
      </c>
    </row>
    <row r="243" ht="15.75" customHeight="1">
      <c r="A243" s="4" t="s">
        <v>455</v>
      </c>
      <c r="B243" s="5">
        <v>45735.0</v>
      </c>
      <c r="C243" s="4" t="s">
        <v>61</v>
      </c>
      <c r="D243" s="4" t="s">
        <v>19</v>
      </c>
      <c r="E243" s="4" t="s">
        <v>25</v>
      </c>
      <c r="F243" s="4" t="s">
        <v>55</v>
      </c>
      <c r="G243" s="4">
        <v>5.0</v>
      </c>
      <c r="H243" s="6">
        <v>30392.56</v>
      </c>
      <c r="I243" s="6">
        <v>151962.8</v>
      </c>
      <c r="J243" s="6">
        <v>130284.52</v>
      </c>
      <c r="K243" s="6">
        <v>21678.28</v>
      </c>
      <c r="L243" s="4" t="str">
        <f t="shared" si="1"/>
        <v>Mar-2025</v>
      </c>
    </row>
    <row r="244" ht="15.75" customHeight="1">
      <c r="A244" s="4" t="s">
        <v>456</v>
      </c>
      <c r="B244" s="5">
        <v>45735.0</v>
      </c>
      <c r="C244" s="4" t="s">
        <v>61</v>
      </c>
      <c r="D244" s="4" t="s">
        <v>19</v>
      </c>
      <c r="E244" s="4" t="s">
        <v>25</v>
      </c>
      <c r="F244" s="4" t="s">
        <v>386</v>
      </c>
      <c r="G244" s="4">
        <v>7.0</v>
      </c>
      <c r="H244" s="6">
        <v>66866.52</v>
      </c>
      <c r="I244" s="6">
        <v>468065.64</v>
      </c>
      <c r="J244" s="6">
        <v>398218.2</v>
      </c>
      <c r="K244" s="6">
        <v>69847.44</v>
      </c>
      <c r="L244" s="4" t="str">
        <f t="shared" si="1"/>
        <v>Mar-2025</v>
      </c>
    </row>
    <row r="245" ht="15.75" customHeight="1">
      <c r="A245" s="4" t="s">
        <v>457</v>
      </c>
      <c r="B245" s="5">
        <v>45736.0</v>
      </c>
      <c r="C245" s="4" t="s">
        <v>140</v>
      </c>
      <c r="D245" s="4" t="s">
        <v>14</v>
      </c>
      <c r="E245" s="4" t="s">
        <v>25</v>
      </c>
      <c r="F245" s="4" t="s">
        <v>215</v>
      </c>
      <c r="G245" s="4">
        <v>1.0</v>
      </c>
      <c r="H245" s="6">
        <v>682.27</v>
      </c>
      <c r="I245" s="6">
        <v>682.27</v>
      </c>
      <c r="J245" s="6">
        <v>545.0</v>
      </c>
      <c r="K245" s="6">
        <v>137.27</v>
      </c>
      <c r="L245" s="4" t="str">
        <f t="shared" si="1"/>
        <v>Mar-2025</v>
      </c>
    </row>
    <row r="246" ht="15.75" customHeight="1">
      <c r="A246" s="4" t="s">
        <v>458</v>
      </c>
      <c r="B246" s="5">
        <v>45737.0</v>
      </c>
      <c r="C246" s="4" t="s">
        <v>69</v>
      </c>
      <c r="D246" s="4" t="s">
        <v>19</v>
      </c>
      <c r="E246" s="4" t="s">
        <v>29</v>
      </c>
      <c r="F246" s="4" t="s">
        <v>459</v>
      </c>
      <c r="G246" s="4">
        <v>7.0</v>
      </c>
      <c r="H246" s="6">
        <v>60646.84</v>
      </c>
      <c r="I246" s="6">
        <v>424527.88</v>
      </c>
      <c r="J246" s="6">
        <v>357005.02</v>
      </c>
      <c r="K246" s="6">
        <v>67522.86</v>
      </c>
      <c r="L246" s="4" t="str">
        <f t="shared" si="1"/>
        <v>Mar-2025</v>
      </c>
    </row>
    <row r="247" ht="15.75" customHeight="1">
      <c r="A247" s="4" t="s">
        <v>460</v>
      </c>
      <c r="B247" s="5">
        <v>45737.0</v>
      </c>
      <c r="C247" s="4" t="s">
        <v>75</v>
      </c>
      <c r="D247" s="4" t="s">
        <v>24</v>
      </c>
      <c r="E247" s="4" t="s">
        <v>25</v>
      </c>
      <c r="F247" s="4" t="s">
        <v>461</v>
      </c>
      <c r="G247" s="4">
        <v>1.0</v>
      </c>
      <c r="H247" s="6">
        <v>2554.95</v>
      </c>
      <c r="I247" s="6">
        <v>2554.95</v>
      </c>
      <c r="J247" s="6">
        <v>2063.43</v>
      </c>
      <c r="K247" s="6">
        <v>491.52</v>
      </c>
      <c r="L247" s="4" t="str">
        <f t="shared" si="1"/>
        <v>Mar-2025</v>
      </c>
    </row>
    <row r="248" ht="15.75" customHeight="1">
      <c r="A248" s="4" t="s">
        <v>462</v>
      </c>
      <c r="B248" s="5">
        <v>45737.0</v>
      </c>
      <c r="C248" s="4" t="s">
        <v>47</v>
      </c>
      <c r="D248" s="4" t="s">
        <v>14</v>
      </c>
      <c r="E248" s="4" t="s">
        <v>25</v>
      </c>
      <c r="F248" s="4" t="s">
        <v>463</v>
      </c>
      <c r="G248" s="4">
        <v>7.0</v>
      </c>
      <c r="H248" s="6">
        <v>216.77</v>
      </c>
      <c r="I248" s="6">
        <v>1517.39</v>
      </c>
      <c r="J248" s="6">
        <v>1046.02</v>
      </c>
      <c r="K248" s="6">
        <v>471.37</v>
      </c>
      <c r="L248" s="4" t="str">
        <f t="shared" si="1"/>
        <v>Mar-2025</v>
      </c>
    </row>
    <row r="249" ht="15.75" customHeight="1">
      <c r="A249" s="4" t="s">
        <v>464</v>
      </c>
      <c r="B249" s="5">
        <v>45738.0</v>
      </c>
      <c r="C249" s="4" t="s">
        <v>35</v>
      </c>
      <c r="D249" s="4" t="s">
        <v>14</v>
      </c>
      <c r="E249" s="4" t="s">
        <v>29</v>
      </c>
      <c r="F249" s="4" t="s">
        <v>291</v>
      </c>
      <c r="G249" s="4">
        <v>6.0</v>
      </c>
      <c r="H249" s="6">
        <v>1073.69</v>
      </c>
      <c r="I249" s="6">
        <v>6442.14</v>
      </c>
      <c r="J249" s="6">
        <v>4758.74</v>
      </c>
      <c r="K249" s="6">
        <v>1683.4</v>
      </c>
      <c r="L249" s="4" t="str">
        <f t="shared" si="1"/>
        <v>Mar-2025</v>
      </c>
    </row>
    <row r="250" ht="15.75" customHeight="1">
      <c r="A250" s="4" t="s">
        <v>465</v>
      </c>
      <c r="B250" s="5">
        <v>45738.0</v>
      </c>
      <c r="C250" s="4" t="s">
        <v>13</v>
      </c>
      <c r="D250" s="4" t="s">
        <v>14</v>
      </c>
      <c r="E250" s="4" t="s">
        <v>29</v>
      </c>
      <c r="F250" s="4" t="s">
        <v>156</v>
      </c>
      <c r="G250" s="4">
        <v>5.0</v>
      </c>
      <c r="H250" s="6">
        <v>1297.2</v>
      </c>
      <c r="I250" s="6">
        <v>6486.0</v>
      </c>
      <c r="J250" s="6">
        <v>4732.63</v>
      </c>
      <c r="K250" s="6">
        <v>1753.37</v>
      </c>
      <c r="L250" s="4" t="str">
        <f t="shared" si="1"/>
        <v>Mar-2025</v>
      </c>
    </row>
    <row r="251" ht="15.75" customHeight="1">
      <c r="A251" s="4" t="s">
        <v>466</v>
      </c>
      <c r="B251" s="5">
        <v>45738.0</v>
      </c>
      <c r="C251" s="4" t="s">
        <v>66</v>
      </c>
      <c r="D251" s="4" t="s">
        <v>42</v>
      </c>
      <c r="E251" s="4" t="s">
        <v>15</v>
      </c>
      <c r="F251" s="4" t="s">
        <v>392</v>
      </c>
      <c r="G251" s="4">
        <v>4.0</v>
      </c>
      <c r="H251" s="6">
        <v>1616.2</v>
      </c>
      <c r="I251" s="6">
        <v>6464.8</v>
      </c>
      <c r="J251" s="6">
        <v>5699.04</v>
      </c>
      <c r="K251" s="6">
        <v>765.76</v>
      </c>
      <c r="L251" s="4" t="str">
        <f t="shared" si="1"/>
        <v>Mar-2025</v>
      </c>
    </row>
    <row r="252" ht="15.75" customHeight="1">
      <c r="A252" s="4" t="s">
        <v>467</v>
      </c>
      <c r="B252" s="5">
        <v>45739.0</v>
      </c>
      <c r="C252" s="4" t="s">
        <v>28</v>
      </c>
      <c r="D252" s="4" t="s">
        <v>14</v>
      </c>
      <c r="E252" s="4" t="s">
        <v>25</v>
      </c>
      <c r="F252" s="4" t="s">
        <v>468</v>
      </c>
      <c r="G252" s="4">
        <v>1.0</v>
      </c>
      <c r="H252" s="6">
        <v>1243.36</v>
      </c>
      <c r="I252" s="6">
        <v>1243.36</v>
      </c>
      <c r="J252" s="6">
        <v>971.21</v>
      </c>
      <c r="K252" s="6">
        <v>272.15</v>
      </c>
      <c r="L252" s="4" t="str">
        <f t="shared" si="1"/>
        <v>Mar-2025</v>
      </c>
    </row>
    <row r="253" ht="15.75" customHeight="1">
      <c r="A253" s="4" t="s">
        <v>469</v>
      </c>
      <c r="B253" s="5">
        <v>45739.0</v>
      </c>
      <c r="C253" s="4" t="s">
        <v>102</v>
      </c>
      <c r="D253" s="4" t="s">
        <v>24</v>
      </c>
      <c r="E253" s="4" t="s">
        <v>20</v>
      </c>
      <c r="F253" s="4" t="s">
        <v>219</v>
      </c>
      <c r="G253" s="4">
        <v>2.0</v>
      </c>
      <c r="H253" s="6">
        <v>6122.05</v>
      </c>
      <c r="I253" s="6">
        <v>12244.1</v>
      </c>
      <c r="J253" s="6">
        <v>10738.47</v>
      </c>
      <c r="K253" s="6">
        <v>1505.63</v>
      </c>
      <c r="L253" s="4" t="str">
        <f t="shared" si="1"/>
        <v>Mar-2025</v>
      </c>
    </row>
    <row r="254" ht="15.75" customHeight="1">
      <c r="A254" s="4" t="s">
        <v>470</v>
      </c>
      <c r="B254" s="5">
        <v>45739.0</v>
      </c>
      <c r="C254" s="4" t="s">
        <v>32</v>
      </c>
      <c r="D254" s="4" t="s">
        <v>19</v>
      </c>
      <c r="E254" s="4" t="s">
        <v>25</v>
      </c>
      <c r="F254" s="4" t="s">
        <v>309</v>
      </c>
      <c r="G254" s="4">
        <v>5.0</v>
      </c>
      <c r="H254" s="6">
        <v>15105.97</v>
      </c>
      <c r="I254" s="6">
        <v>75529.85</v>
      </c>
      <c r="J254" s="6">
        <v>65958.39</v>
      </c>
      <c r="K254" s="6">
        <v>9571.46</v>
      </c>
      <c r="L254" s="4" t="str">
        <f t="shared" si="1"/>
        <v>Mar-2025</v>
      </c>
    </row>
    <row r="255" ht="15.75" customHeight="1">
      <c r="A255" s="4" t="s">
        <v>471</v>
      </c>
      <c r="B255" s="5">
        <v>45740.0</v>
      </c>
      <c r="C255" s="4" t="s">
        <v>38</v>
      </c>
      <c r="D255" s="4" t="s">
        <v>19</v>
      </c>
      <c r="E255" s="4" t="s">
        <v>25</v>
      </c>
      <c r="F255" s="4" t="s">
        <v>135</v>
      </c>
      <c r="G255" s="4">
        <v>2.0</v>
      </c>
      <c r="H255" s="6">
        <v>22229.7</v>
      </c>
      <c r="I255" s="6">
        <v>44459.4</v>
      </c>
      <c r="J255" s="6">
        <v>40106.28</v>
      </c>
      <c r="K255" s="6">
        <v>4353.12</v>
      </c>
      <c r="L255" s="4" t="str">
        <f t="shared" si="1"/>
        <v>Mar-2025</v>
      </c>
    </row>
    <row r="256" ht="15.75" customHeight="1">
      <c r="A256" s="4" t="s">
        <v>472</v>
      </c>
      <c r="B256" s="5">
        <v>45740.0</v>
      </c>
      <c r="C256" s="4" t="s">
        <v>160</v>
      </c>
      <c r="D256" s="4" t="s">
        <v>42</v>
      </c>
      <c r="E256" s="4" t="s">
        <v>20</v>
      </c>
      <c r="F256" s="4" t="s">
        <v>461</v>
      </c>
      <c r="G256" s="4">
        <v>2.0</v>
      </c>
      <c r="H256" s="6">
        <v>3138.84</v>
      </c>
      <c r="I256" s="6">
        <v>6277.68</v>
      </c>
      <c r="J256" s="6">
        <v>4922.67</v>
      </c>
      <c r="K256" s="6">
        <v>1355.01</v>
      </c>
      <c r="L256" s="4" t="str">
        <f t="shared" si="1"/>
        <v>Mar-2025</v>
      </c>
    </row>
    <row r="257" ht="15.75" customHeight="1">
      <c r="A257" s="4" t="s">
        <v>473</v>
      </c>
      <c r="B257" s="5">
        <v>45740.0</v>
      </c>
      <c r="C257" s="4" t="s">
        <v>23</v>
      </c>
      <c r="D257" s="4" t="s">
        <v>24</v>
      </c>
      <c r="E257" s="4" t="s">
        <v>29</v>
      </c>
      <c r="F257" s="4" t="s">
        <v>76</v>
      </c>
      <c r="G257" s="4">
        <v>2.0</v>
      </c>
      <c r="H257" s="6">
        <v>5893.93</v>
      </c>
      <c r="I257" s="6">
        <v>11787.86</v>
      </c>
      <c r="J257" s="6">
        <v>9603.39</v>
      </c>
      <c r="K257" s="6">
        <v>2184.47</v>
      </c>
      <c r="L257" s="4" t="str">
        <f t="shared" si="1"/>
        <v>Mar-2025</v>
      </c>
    </row>
    <row r="258" ht="15.75" customHeight="1">
      <c r="A258" s="4" t="s">
        <v>474</v>
      </c>
      <c r="B258" s="5">
        <v>45740.0</v>
      </c>
      <c r="C258" s="4" t="s">
        <v>102</v>
      </c>
      <c r="D258" s="4" t="s">
        <v>24</v>
      </c>
      <c r="E258" s="4" t="s">
        <v>20</v>
      </c>
      <c r="F258" s="4" t="s">
        <v>475</v>
      </c>
      <c r="G258" s="4">
        <v>6.0</v>
      </c>
      <c r="H258" s="6">
        <v>10047.18</v>
      </c>
      <c r="I258" s="6">
        <v>60283.08</v>
      </c>
      <c r="J258" s="6">
        <v>43812.47</v>
      </c>
      <c r="K258" s="6">
        <v>16470.61</v>
      </c>
      <c r="L258" s="4" t="str">
        <f t="shared" si="1"/>
        <v>Mar-2025</v>
      </c>
    </row>
    <row r="259" ht="15.75" customHeight="1">
      <c r="A259" s="4" t="s">
        <v>476</v>
      </c>
      <c r="B259" s="5">
        <v>45741.0</v>
      </c>
      <c r="C259" s="4" t="s">
        <v>155</v>
      </c>
      <c r="D259" s="4" t="s">
        <v>24</v>
      </c>
      <c r="E259" s="4" t="s">
        <v>25</v>
      </c>
      <c r="F259" s="4" t="s">
        <v>201</v>
      </c>
      <c r="G259" s="4">
        <v>1.0</v>
      </c>
      <c r="H259" s="6">
        <v>8351.77</v>
      </c>
      <c r="I259" s="6">
        <v>8351.77</v>
      </c>
      <c r="J259" s="6">
        <v>6920.95</v>
      </c>
      <c r="K259" s="6">
        <v>1430.82</v>
      </c>
      <c r="L259" s="4" t="str">
        <f t="shared" si="1"/>
        <v>Mar-2025</v>
      </c>
    </row>
    <row r="260" ht="15.75" customHeight="1">
      <c r="A260" s="4" t="s">
        <v>477</v>
      </c>
      <c r="B260" s="5">
        <v>45741.0</v>
      </c>
      <c r="C260" s="4" t="s">
        <v>32</v>
      </c>
      <c r="D260" s="4" t="s">
        <v>19</v>
      </c>
      <c r="E260" s="4" t="s">
        <v>25</v>
      </c>
      <c r="F260" s="4" t="s">
        <v>478</v>
      </c>
      <c r="G260" s="4">
        <v>3.0</v>
      </c>
      <c r="H260" s="6">
        <v>51055.71</v>
      </c>
      <c r="I260" s="6">
        <v>153167.13</v>
      </c>
      <c r="J260" s="6">
        <v>127999.39</v>
      </c>
      <c r="K260" s="6">
        <v>25167.74</v>
      </c>
      <c r="L260" s="4" t="str">
        <f t="shared" si="1"/>
        <v>Mar-2025</v>
      </c>
    </row>
    <row r="261" ht="15.75" customHeight="1">
      <c r="A261" s="4" t="s">
        <v>479</v>
      </c>
      <c r="B261" s="5">
        <v>45741.0</v>
      </c>
      <c r="C261" s="4" t="s">
        <v>155</v>
      </c>
      <c r="D261" s="4" t="s">
        <v>24</v>
      </c>
      <c r="E261" s="4" t="s">
        <v>20</v>
      </c>
      <c r="F261" s="4" t="s">
        <v>64</v>
      </c>
      <c r="G261" s="4">
        <v>6.0</v>
      </c>
      <c r="H261" s="6">
        <v>16582.72</v>
      </c>
      <c r="I261" s="6">
        <v>99496.32</v>
      </c>
      <c r="J261" s="6">
        <v>73892.47</v>
      </c>
      <c r="K261" s="6">
        <v>25603.85</v>
      </c>
      <c r="L261" s="4" t="str">
        <f t="shared" si="1"/>
        <v>Mar-2025</v>
      </c>
    </row>
    <row r="262" ht="15.75" customHeight="1">
      <c r="A262" s="4" t="s">
        <v>480</v>
      </c>
      <c r="B262" s="5">
        <v>45741.0</v>
      </c>
      <c r="C262" s="4" t="s">
        <v>50</v>
      </c>
      <c r="D262" s="4" t="s">
        <v>42</v>
      </c>
      <c r="E262" s="4" t="s">
        <v>25</v>
      </c>
      <c r="F262" s="4" t="s">
        <v>481</v>
      </c>
      <c r="G262" s="4">
        <v>6.0</v>
      </c>
      <c r="H262" s="6">
        <v>807.41</v>
      </c>
      <c r="I262" s="6">
        <v>4844.46</v>
      </c>
      <c r="J262" s="6">
        <v>3702.32</v>
      </c>
      <c r="K262" s="6">
        <v>1142.14</v>
      </c>
      <c r="L262" s="4" t="str">
        <f t="shared" si="1"/>
        <v>Mar-2025</v>
      </c>
    </row>
    <row r="263" ht="15.75" customHeight="1">
      <c r="A263" s="4" t="s">
        <v>482</v>
      </c>
      <c r="B263" s="5">
        <v>45741.0</v>
      </c>
      <c r="C263" s="4" t="s">
        <v>32</v>
      </c>
      <c r="D263" s="4" t="s">
        <v>19</v>
      </c>
      <c r="E263" s="4" t="s">
        <v>25</v>
      </c>
      <c r="F263" s="4" t="s">
        <v>365</v>
      </c>
      <c r="G263" s="4">
        <v>7.0</v>
      </c>
      <c r="H263" s="6">
        <v>61328.55</v>
      </c>
      <c r="I263" s="6">
        <v>429299.85</v>
      </c>
      <c r="J263" s="6">
        <v>375714.14</v>
      </c>
      <c r="K263" s="6">
        <v>53585.71</v>
      </c>
      <c r="L263" s="4" t="str">
        <f t="shared" si="1"/>
        <v>Mar-2025</v>
      </c>
    </row>
    <row r="264" ht="15.75" customHeight="1">
      <c r="A264" s="4" t="s">
        <v>483</v>
      </c>
      <c r="B264" s="5">
        <v>45741.0</v>
      </c>
      <c r="C264" s="4" t="s">
        <v>47</v>
      </c>
      <c r="D264" s="4" t="s">
        <v>14</v>
      </c>
      <c r="E264" s="4" t="s">
        <v>25</v>
      </c>
      <c r="F264" s="4" t="s">
        <v>99</v>
      </c>
      <c r="G264" s="4">
        <v>7.0</v>
      </c>
      <c r="H264" s="6">
        <v>1366.87</v>
      </c>
      <c r="I264" s="6">
        <v>9568.09</v>
      </c>
      <c r="J264" s="6">
        <v>7398.48</v>
      </c>
      <c r="K264" s="6">
        <v>2169.61</v>
      </c>
      <c r="L264" s="4" t="str">
        <f t="shared" si="1"/>
        <v>Mar-2025</v>
      </c>
    </row>
    <row r="265" ht="15.75" customHeight="1">
      <c r="A265" s="4" t="s">
        <v>484</v>
      </c>
      <c r="B265" s="5">
        <v>45741.0</v>
      </c>
      <c r="C265" s="4" t="s">
        <v>75</v>
      </c>
      <c r="D265" s="4" t="s">
        <v>24</v>
      </c>
      <c r="E265" s="4" t="s">
        <v>15</v>
      </c>
      <c r="F265" s="4" t="s">
        <v>485</v>
      </c>
      <c r="G265" s="4">
        <v>6.0</v>
      </c>
      <c r="H265" s="6">
        <v>11981.73</v>
      </c>
      <c r="I265" s="6">
        <v>71890.38</v>
      </c>
      <c r="J265" s="6">
        <v>58673.52</v>
      </c>
      <c r="K265" s="6">
        <v>13216.86</v>
      </c>
      <c r="L265" s="4" t="str">
        <f t="shared" si="1"/>
        <v>Mar-2025</v>
      </c>
    </row>
    <row r="266" ht="15.75" customHeight="1">
      <c r="A266" s="4" t="s">
        <v>486</v>
      </c>
      <c r="B266" s="5">
        <v>45742.0</v>
      </c>
      <c r="C266" s="4" t="s">
        <v>13</v>
      </c>
      <c r="D266" s="4" t="s">
        <v>14</v>
      </c>
      <c r="E266" s="4" t="s">
        <v>25</v>
      </c>
      <c r="F266" s="4" t="s">
        <v>382</v>
      </c>
      <c r="G266" s="4">
        <v>7.0</v>
      </c>
      <c r="H266" s="6">
        <v>834.62</v>
      </c>
      <c r="I266" s="6">
        <v>5842.34</v>
      </c>
      <c r="J266" s="6">
        <v>4344.59</v>
      </c>
      <c r="K266" s="6">
        <v>1497.75</v>
      </c>
      <c r="L266" s="4" t="str">
        <f t="shared" si="1"/>
        <v>Mar-2025</v>
      </c>
    </row>
    <row r="267" ht="15.75" customHeight="1">
      <c r="A267" s="4" t="s">
        <v>487</v>
      </c>
      <c r="B267" s="5">
        <v>45742.0</v>
      </c>
      <c r="C267" s="4" t="s">
        <v>140</v>
      </c>
      <c r="D267" s="4" t="s">
        <v>14</v>
      </c>
      <c r="E267" s="4" t="s">
        <v>25</v>
      </c>
      <c r="F267" s="4" t="s">
        <v>186</v>
      </c>
      <c r="G267" s="4">
        <v>1.0</v>
      </c>
      <c r="H267" s="6">
        <v>624.16</v>
      </c>
      <c r="I267" s="6">
        <v>624.16</v>
      </c>
      <c r="J267" s="6">
        <v>513.78</v>
      </c>
      <c r="K267" s="6">
        <v>110.38</v>
      </c>
      <c r="L267" s="4" t="str">
        <f t="shared" si="1"/>
        <v>Mar-2025</v>
      </c>
    </row>
    <row r="268" ht="15.75" customHeight="1">
      <c r="A268" s="4" t="s">
        <v>488</v>
      </c>
      <c r="B268" s="5">
        <v>45742.0</v>
      </c>
      <c r="C268" s="4" t="s">
        <v>109</v>
      </c>
      <c r="D268" s="4" t="s">
        <v>42</v>
      </c>
      <c r="E268" s="4" t="s">
        <v>15</v>
      </c>
      <c r="F268" s="4" t="s">
        <v>233</v>
      </c>
      <c r="G268" s="4">
        <v>7.0</v>
      </c>
      <c r="H268" s="6">
        <v>1324.13</v>
      </c>
      <c r="I268" s="6">
        <v>9268.91</v>
      </c>
      <c r="J268" s="6">
        <v>7895.08</v>
      </c>
      <c r="K268" s="6">
        <v>1373.83</v>
      </c>
      <c r="L268" s="4" t="str">
        <f t="shared" si="1"/>
        <v>Mar-2025</v>
      </c>
    </row>
    <row r="269" ht="15.75" customHeight="1">
      <c r="A269" s="4" t="s">
        <v>489</v>
      </c>
      <c r="B269" s="5">
        <v>45743.0</v>
      </c>
      <c r="C269" s="4" t="s">
        <v>140</v>
      </c>
      <c r="D269" s="4" t="s">
        <v>14</v>
      </c>
      <c r="E269" s="4" t="s">
        <v>20</v>
      </c>
      <c r="F269" s="4" t="s">
        <v>33</v>
      </c>
      <c r="G269" s="4">
        <v>1.0</v>
      </c>
      <c r="H269" s="6">
        <v>525.7</v>
      </c>
      <c r="I269" s="6">
        <v>525.7</v>
      </c>
      <c r="J269" s="6">
        <v>406.34</v>
      </c>
      <c r="K269" s="6">
        <v>119.36</v>
      </c>
      <c r="L269" s="4" t="str">
        <f t="shared" si="1"/>
        <v>Mar-2025</v>
      </c>
    </row>
    <row r="270" ht="15.75" customHeight="1">
      <c r="A270" s="4" t="s">
        <v>490</v>
      </c>
      <c r="B270" s="5">
        <v>45743.0</v>
      </c>
      <c r="C270" s="4" t="s">
        <v>23</v>
      </c>
      <c r="D270" s="4" t="s">
        <v>24</v>
      </c>
      <c r="E270" s="4" t="s">
        <v>29</v>
      </c>
      <c r="F270" s="4" t="s">
        <v>162</v>
      </c>
      <c r="G270" s="4">
        <v>7.0</v>
      </c>
      <c r="H270" s="6">
        <v>7899.46</v>
      </c>
      <c r="I270" s="6">
        <v>55296.22</v>
      </c>
      <c r="J270" s="6">
        <v>48490.87</v>
      </c>
      <c r="K270" s="6">
        <v>6805.35</v>
      </c>
      <c r="L270" s="4" t="str">
        <f t="shared" si="1"/>
        <v>Mar-2025</v>
      </c>
    </row>
    <row r="271" ht="15.75" customHeight="1">
      <c r="A271" s="4" t="s">
        <v>491</v>
      </c>
      <c r="B271" s="5">
        <v>45743.0</v>
      </c>
      <c r="C271" s="4" t="s">
        <v>66</v>
      </c>
      <c r="D271" s="4" t="s">
        <v>42</v>
      </c>
      <c r="E271" s="4" t="s">
        <v>29</v>
      </c>
      <c r="F271" s="4" t="s">
        <v>492</v>
      </c>
      <c r="G271" s="4">
        <v>2.0</v>
      </c>
      <c r="H271" s="6">
        <v>1844.7</v>
      </c>
      <c r="I271" s="6">
        <v>3689.4</v>
      </c>
      <c r="J271" s="6">
        <v>3052.31</v>
      </c>
      <c r="K271" s="6">
        <v>637.09</v>
      </c>
      <c r="L271" s="4" t="str">
        <f t="shared" si="1"/>
        <v>Mar-2025</v>
      </c>
    </row>
    <row r="272" ht="15.75" customHeight="1">
      <c r="A272" s="4" t="s">
        <v>493</v>
      </c>
      <c r="B272" s="5">
        <v>45743.0</v>
      </c>
      <c r="C272" s="4" t="s">
        <v>72</v>
      </c>
      <c r="D272" s="4" t="s">
        <v>24</v>
      </c>
      <c r="E272" s="4" t="s">
        <v>15</v>
      </c>
      <c r="F272" s="4" t="s">
        <v>156</v>
      </c>
      <c r="G272" s="4">
        <v>2.0</v>
      </c>
      <c r="H272" s="6">
        <v>11211.89</v>
      </c>
      <c r="I272" s="6">
        <v>22423.78</v>
      </c>
      <c r="J272" s="6">
        <v>18991.16</v>
      </c>
      <c r="K272" s="6">
        <v>3432.62</v>
      </c>
      <c r="L272" s="4" t="str">
        <f t="shared" si="1"/>
        <v>Mar-2025</v>
      </c>
    </row>
    <row r="273" ht="15.75" customHeight="1">
      <c r="A273" s="4" t="s">
        <v>494</v>
      </c>
      <c r="B273" s="5">
        <v>45743.0</v>
      </c>
      <c r="C273" s="4" t="s">
        <v>32</v>
      </c>
      <c r="D273" s="4" t="s">
        <v>19</v>
      </c>
      <c r="E273" s="4" t="s">
        <v>25</v>
      </c>
      <c r="F273" s="4" t="s">
        <v>252</v>
      </c>
      <c r="G273" s="4">
        <v>7.0</v>
      </c>
      <c r="H273" s="6">
        <v>3837.3</v>
      </c>
      <c r="I273" s="6">
        <v>26861.1</v>
      </c>
      <c r="J273" s="6">
        <v>24552.14</v>
      </c>
      <c r="K273" s="6">
        <v>2308.96</v>
      </c>
      <c r="L273" s="4" t="str">
        <f t="shared" si="1"/>
        <v>Mar-2025</v>
      </c>
    </row>
    <row r="274" ht="15.75" customHeight="1">
      <c r="A274" s="4" t="s">
        <v>495</v>
      </c>
      <c r="B274" s="5">
        <v>45744.0</v>
      </c>
      <c r="C274" s="4" t="s">
        <v>41</v>
      </c>
      <c r="D274" s="4" t="s">
        <v>42</v>
      </c>
      <c r="E274" s="4" t="s">
        <v>29</v>
      </c>
      <c r="F274" s="4" t="s">
        <v>86</v>
      </c>
      <c r="G274" s="4">
        <v>5.0</v>
      </c>
      <c r="H274" s="6">
        <v>4091.28</v>
      </c>
      <c r="I274" s="6">
        <v>20456.4</v>
      </c>
      <c r="J274" s="6">
        <v>15462.75</v>
      </c>
      <c r="K274" s="6">
        <v>4993.65</v>
      </c>
      <c r="L274" s="4" t="str">
        <f t="shared" si="1"/>
        <v>Mar-2025</v>
      </c>
    </row>
    <row r="275" ht="15.75" customHeight="1">
      <c r="A275" s="4" t="s">
        <v>496</v>
      </c>
      <c r="B275" s="5">
        <v>45744.0</v>
      </c>
      <c r="C275" s="4" t="s">
        <v>47</v>
      </c>
      <c r="D275" s="4" t="s">
        <v>14</v>
      </c>
      <c r="E275" s="4" t="s">
        <v>15</v>
      </c>
      <c r="F275" s="4" t="s">
        <v>497</v>
      </c>
      <c r="G275" s="4">
        <v>6.0</v>
      </c>
      <c r="H275" s="6">
        <v>1330.52</v>
      </c>
      <c r="I275" s="6">
        <v>7983.12</v>
      </c>
      <c r="J275" s="6">
        <v>5671.57</v>
      </c>
      <c r="K275" s="6">
        <v>2311.55</v>
      </c>
      <c r="L275" s="4" t="str">
        <f t="shared" si="1"/>
        <v>Mar-2025</v>
      </c>
    </row>
    <row r="276" ht="15.75" customHeight="1">
      <c r="A276" s="4" t="s">
        <v>498</v>
      </c>
      <c r="B276" s="5">
        <v>45744.0</v>
      </c>
      <c r="C276" s="4" t="s">
        <v>50</v>
      </c>
      <c r="D276" s="4" t="s">
        <v>42</v>
      </c>
      <c r="E276" s="4" t="s">
        <v>25</v>
      </c>
      <c r="F276" s="4" t="s">
        <v>302</v>
      </c>
      <c r="G276" s="4">
        <v>1.0</v>
      </c>
      <c r="H276" s="6">
        <v>2312.28</v>
      </c>
      <c r="I276" s="6">
        <v>2312.28</v>
      </c>
      <c r="J276" s="6">
        <v>1781.68</v>
      </c>
      <c r="K276" s="6">
        <v>530.6</v>
      </c>
      <c r="L276" s="4" t="str">
        <f t="shared" si="1"/>
        <v>Mar-2025</v>
      </c>
    </row>
    <row r="277" ht="15.75" customHeight="1">
      <c r="A277" s="4" t="s">
        <v>499</v>
      </c>
      <c r="B277" s="5">
        <v>45744.0</v>
      </c>
      <c r="C277" s="4" t="s">
        <v>35</v>
      </c>
      <c r="D277" s="4" t="s">
        <v>14</v>
      </c>
      <c r="E277" s="4" t="s">
        <v>29</v>
      </c>
      <c r="F277" s="4" t="s">
        <v>500</v>
      </c>
      <c r="G277" s="4">
        <v>7.0</v>
      </c>
      <c r="H277" s="6">
        <v>218.78</v>
      </c>
      <c r="I277" s="6">
        <v>1531.46</v>
      </c>
      <c r="J277" s="6">
        <v>1140.32</v>
      </c>
      <c r="K277" s="6">
        <v>391.14</v>
      </c>
      <c r="L277" s="4" t="str">
        <f t="shared" si="1"/>
        <v>Mar-2025</v>
      </c>
    </row>
    <row r="278" ht="15.75" customHeight="1">
      <c r="A278" s="4" t="s">
        <v>501</v>
      </c>
      <c r="B278" s="5">
        <v>45745.0</v>
      </c>
      <c r="C278" s="4" t="s">
        <v>140</v>
      </c>
      <c r="D278" s="4" t="s">
        <v>14</v>
      </c>
      <c r="E278" s="4" t="s">
        <v>15</v>
      </c>
      <c r="F278" s="4" t="s">
        <v>418</v>
      </c>
      <c r="G278" s="4">
        <v>6.0</v>
      </c>
      <c r="H278" s="6">
        <v>499.28</v>
      </c>
      <c r="I278" s="6">
        <v>2995.68</v>
      </c>
      <c r="J278" s="6">
        <v>2076.16</v>
      </c>
      <c r="K278" s="6">
        <v>919.52</v>
      </c>
      <c r="L278" s="4" t="str">
        <f t="shared" si="1"/>
        <v>Mar-2025</v>
      </c>
    </row>
    <row r="279" ht="15.75" customHeight="1">
      <c r="A279" s="4" t="s">
        <v>502</v>
      </c>
      <c r="B279" s="5">
        <v>45745.0</v>
      </c>
      <c r="C279" s="4" t="s">
        <v>102</v>
      </c>
      <c r="D279" s="4" t="s">
        <v>24</v>
      </c>
      <c r="E279" s="4" t="s">
        <v>25</v>
      </c>
      <c r="F279" s="4" t="s">
        <v>141</v>
      </c>
      <c r="G279" s="4">
        <v>4.0</v>
      </c>
      <c r="H279" s="6">
        <v>6852.26</v>
      </c>
      <c r="I279" s="6">
        <v>27409.04</v>
      </c>
      <c r="J279" s="6">
        <v>21882.44</v>
      </c>
      <c r="K279" s="6">
        <v>5526.6</v>
      </c>
      <c r="L279" s="4" t="str">
        <f t="shared" si="1"/>
        <v>Mar-2025</v>
      </c>
    </row>
    <row r="280" ht="15.75" customHeight="1">
      <c r="A280" s="4" t="s">
        <v>503</v>
      </c>
      <c r="B280" s="5">
        <v>45745.0</v>
      </c>
      <c r="C280" s="4" t="s">
        <v>35</v>
      </c>
      <c r="D280" s="4" t="s">
        <v>14</v>
      </c>
      <c r="E280" s="4" t="s">
        <v>29</v>
      </c>
      <c r="F280" s="4" t="s">
        <v>328</v>
      </c>
      <c r="G280" s="4">
        <v>3.0</v>
      </c>
      <c r="H280" s="6">
        <v>564.51</v>
      </c>
      <c r="I280" s="6">
        <v>1693.53</v>
      </c>
      <c r="J280" s="6">
        <v>1364.31</v>
      </c>
      <c r="K280" s="6">
        <v>329.22</v>
      </c>
      <c r="L280" s="4" t="str">
        <f t="shared" si="1"/>
        <v>Mar-2025</v>
      </c>
    </row>
    <row r="281" ht="15.75" customHeight="1">
      <c r="A281" s="4" t="s">
        <v>504</v>
      </c>
      <c r="B281" s="5">
        <v>45746.0</v>
      </c>
      <c r="C281" s="4" t="s">
        <v>109</v>
      </c>
      <c r="D281" s="4" t="s">
        <v>42</v>
      </c>
      <c r="E281" s="4" t="s">
        <v>29</v>
      </c>
      <c r="F281" s="4" t="s">
        <v>444</v>
      </c>
      <c r="G281" s="4">
        <v>7.0</v>
      </c>
      <c r="H281" s="6">
        <v>2266.37</v>
      </c>
      <c r="I281" s="6">
        <v>15864.59</v>
      </c>
      <c r="J281" s="6">
        <v>12987.04</v>
      </c>
      <c r="K281" s="6">
        <v>2877.55</v>
      </c>
      <c r="L281" s="4" t="str">
        <f t="shared" si="1"/>
        <v>Mar-2025</v>
      </c>
    </row>
    <row r="282" ht="15.75" customHeight="1">
      <c r="A282" s="4" t="s">
        <v>505</v>
      </c>
      <c r="B282" s="5">
        <v>45746.0</v>
      </c>
      <c r="C282" s="4" t="s">
        <v>18</v>
      </c>
      <c r="D282" s="4" t="s">
        <v>19</v>
      </c>
      <c r="E282" s="4" t="s">
        <v>15</v>
      </c>
      <c r="F282" s="4" t="s">
        <v>195</v>
      </c>
      <c r="G282" s="4">
        <v>7.0</v>
      </c>
      <c r="H282" s="6">
        <v>53762.66</v>
      </c>
      <c r="I282" s="6">
        <v>376338.62</v>
      </c>
      <c r="J282" s="6">
        <v>305601.98</v>
      </c>
      <c r="K282" s="6">
        <v>70736.64</v>
      </c>
      <c r="L282" s="4" t="str">
        <f t="shared" si="1"/>
        <v>Mar-2025</v>
      </c>
    </row>
    <row r="283" ht="15.75" customHeight="1">
      <c r="A283" s="4" t="s">
        <v>506</v>
      </c>
      <c r="B283" s="5">
        <v>45746.0</v>
      </c>
      <c r="C283" s="4" t="s">
        <v>140</v>
      </c>
      <c r="D283" s="4" t="s">
        <v>14</v>
      </c>
      <c r="E283" s="4" t="s">
        <v>25</v>
      </c>
      <c r="F283" s="4" t="s">
        <v>507</v>
      </c>
      <c r="G283" s="4">
        <v>3.0</v>
      </c>
      <c r="H283" s="6">
        <v>134.53</v>
      </c>
      <c r="I283" s="6">
        <v>403.59</v>
      </c>
      <c r="J283" s="6">
        <v>283.78</v>
      </c>
      <c r="K283" s="6">
        <v>119.81</v>
      </c>
      <c r="L283" s="4" t="str">
        <f t="shared" si="1"/>
        <v>Mar-2025</v>
      </c>
    </row>
    <row r="284" ht="15.75" customHeight="1">
      <c r="A284" s="4" t="s">
        <v>508</v>
      </c>
      <c r="B284" s="5">
        <v>45747.0</v>
      </c>
      <c r="C284" s="4" t="s">
        <v>32</v>
      </c>
      <c r="D284" s="4" t="s">
        <v>19</v>
      </c>
      <c r="E284" s="4" t="s">
        <v>20</v>
      </c>
      <c r="F284" s="4" t="s">
        <v>315</v>
      </c>
      <c r="G284" s="4">
        <v>7.0</v>
      </c>
      <c r="H284" s="6">
        <v>32523.61</v>
      </c>
      <c r="I284" s="6">
        <v>227665.27</v>
      </c>
      <c r="J284" s="6">
        <v>205057.37</v>
      </c>
      <c r="K284" s="6">
        <v>22607.9</v>
      </c>
      <c r="L284" s="4" t="str">
        <f t="shared" si="1"/>
        <v>Mar-2025</v>
      </c>
    </row>
    <row r="285" ht="15.75" customHeight="1">
      <c r="A285" s="4" t="s">
        <v>509</v>
      </c>
      <c r="B285" s="5">
        <v>45747.0</v>
      </c>
      <c r="C285" s="4" t="s">
        <v>23</v>
      </c>
      <c r="D285" s="4" t="s">
        <v>24</v>
      </c>
      <c r="E285" s="4" t="s">
        <v>25</v>
      </c>
      <c r="F285" s="4" t="s">
        <v>510</v>
      </c>
      <c r="G285" s="4">
        <v>5.0</v>
      </c>
      <c r="H285" s="6">
        <v>9145.47</v>
      </c>
      <c r="I285" s="6">
        <v>45727.35</v>
      </c>
      <c r="J285" s="6">
        <v>38328.06</v>
      </c>
      <c r="K285" s="6">
        <v>7399.29</v>
      </c>
      <c r="L285" s="4" t="str">
        <f t="shared" si="1"/>
        <v>Mar-2025</v>
      </c>
    </row>
    <row r="286" ht="15.75" customHeight="1">
      <c r="A286" s="4" t="s">
        <v>511</v>
      </c>
      <c r="B286" s="5">
        <v>45747.0</v>
      </c>
      <c r="C286" s="4" t="s">
        <v>69</v>
      </c>
      <c r="D286" s="4" t="s">
        <v>19</v>
      </c>
      <c r="E286" s="4" t="s">
        <v>25</v>
      </c>
      <c r="F286" s="4" t="s">
        <v>213</v>
      </c>
      <c r="G286" s="4">
        <v>4.0</v>
      </c>
      <c r="H286" s="6">
        <v>43056.7</v>
      </c>
      <c r="I286" s="6">
        <v>172226.8</v>
      </c>
      <c r="J286" s="6">
        <v>141245.45</v>
      </c>
      <c r="K286" s="6">
        <v>30981.35</v>
      </c>
      <c r="L286" s="4" t="str">
        <f t="shared" si="1"/>
        <v>Mar-2025</v>
      </c>
    </row>
    <row r="287" ht="15.75" customHeight="1">
      <c r="A287" s="4" t="s">
        <v>512</v>
      </c>
      <c r="B287" s="5">
        <v>45747.0</v>
      </c>
      <c r="C287" s="4" t="s">
        <v>32</v>
      </c>
      <c r="D287" s="4" t="s">
        <v>19</v>
      </c>
      <c r="E287" s="4" t="s">
        <v>25</v>
      </c>
      <c r="F287" s="4" t="s">
        <v>497</v>
      </c>
      <c r="G287" s="4">
        <v>4.0</v>
      </c>
      <c r="H287" s="6">
        <v>44107.28</v>
      </c>
      <c r="I287" s="6">
        <v>176429.12</v>
      </c>
      <c r="J287" s="6">
        <v>160669.03</v>
      </c>
      <c r="K287" s="6">
        <v>15760.09</v>
      </c>
      <c r="L287" s="4" t="str">
        <f t="shared" si="1"/>
        <v>Mar-2025</v>
      </c>
    </row>
    <row r="288" ht="15.75" customHeight="1">
      <c r="A288" s="4" t="s">
        <v>513</v>
      </c>
      <c r="B288" s="5">
        <v>45748.0</v>
      </c>
      <c r="C288" s="4" t="s">
        <v>28</v>
      </c>
      <c r="D288" s="4" t="s">
        <v>14</v>
      </c>
      <c r="E288" s="4" t="s">
        <v>15</v>
      </c>
      <c r="F288" s="4" t="s">
        <v>384</v>
      </c>
      <c r="G288" s="4">
        <v>1.0</v>
      </c>
      <c r="H288" s="6">
        <v>1486.43</v>
      </c>
      <c r="I288" s="6">
        <v>1486.43</v>
      </c>
      <c r="J288" s="6">
        <v>1180.2</v>
      </c>
      <c r="K288" s="6">
        <v>306.23</v>
      </c>
      <c r="L288" s="4" t="str">
        <f t="shared" si="1"/>
        <v>Apr-2025</v>
      </c>
    </row>
    <row r="289" ht="15.75" customHeight="1">
      <c r="A289" s="4" t="s">
        <v>514</v>
      </c>
      <c r="B289" s="5">
        <v>45749.0</v>
      </c>
      <c r="C289" s="4" t="s">
        <v>35</v>
      </c>
      <c r="D289" s="4" t="s">
        <v>14</v>
      </c>
      <c r="E289" s="4" t="s">
        <v>25</v>
      </c>
      <c r="F289" s="4" t="s">
        <v>175</v>
      </c>
      <c r="G289" s="4">
        <v>1.0</v>
      </c>
      <c r="H289" s="6">
        <v>664.99</v>
      </c>
      <c r="I289" s="6">
        <v>664.99</v>
      </c>
      <c r="J289" s="6">
        <v>460.61</v>
      </c>
      <c r="K289" s="6">
        <v>204.38</v>
      </c>
      <c r="L289" s="4" t="str">
        <f t="shared" si="1"/>
        <v>Apr-2025</v>
      </c>
    </row>
    <row r="290" ht="15.75" customHeight="1">
      <c r="A290" s="4" t="s">
        <v>515</v>
      </c>
      <c r="B290" s="5">
        <v>45749.0</v>
      </c>
      <c r="C290" s="4" t="s">
        <v>13</v>
      </c>
      <c r="D290" s="4" t="s">
        <v>14</v>
      </c>
      <c r="E290" s="4" t="s">
        <v>15</v>
      </c>
      <c r="F290" s="4" t="s">
        <v>516</v>
      </c>
      <c r="G290" s="4">
        <v>5.0</v>
      </c>
      <c r="H290" s="6">
        <v>693.86</v>
      </c>
      <c r="I290" s="6">
        <v>3469.3</v>
      </c>
      <c r="J290" s="6">
        <v>2711.94</v>
      </c>
      <c r="K290" s="6">
        <v>757.36</v>
      </c>
      <c r="L290" s="4" t="str">
        <f t="shared" si="1"/>
        <v>Apr-2025</v>
      </c>
    </row>
    <row r="291" ht="15.75" customHeight="1">
      <c r="A291" s="4" t="s">
        <v>517</v>
      </c>
      <c r="B291" s="5">
        <v>45750.0</v>
      </c>
      <c r="C291" s="4" t="s">
        <v>61</v>
      </c>
      <c r="D291" s="4" t="s">
        <v>19</v>
      </c>
      <c r="E291" s="4" t="s">
        <v>25</v>
      </c>
      <c r="F291" s="4" t="s">
        <v>518</v>
      </c>
      <c r="G291" s="4">
        <v>3.0</v>
      </c>
      <c r="H291" s="6">
        <v>15350.45</v>
      </c>
      <c r="I291" s="6">
        <v>46051.35</v>
      </c>
      <c r="J291" s="6">
        <v>38991.97</v>
      </c>
      <c r="K291" s="6">
        <v>7059.38</v>
      </c>
      <c r="L291" s="4" t="str">
        <f t="shared" si="1"/>
        <v>Apr-2025</v>
      </c>
    </row>
    <row r="292" ht="15.75" customHeight="1">
      <c r="A292" s="4" t="s">
        <v>519</v>
      </c>
      <c r="B292" s="5">
        <v>45750.0</v>
      </c>
      <c r="C292" s="4" t="s">
        <v>75</v>
      </c>
      <c r="D292" s="4" t="s">
        <v>24</v>
      </c>
      <c r="E292" s="4" t="s">
        <v>29</v>
      </c>
      <c r="F292" s="4" t="s">
        <v>143</v>
      </c>
      <c r="G292" s="4">
        <v>1.0</v>
      </c>
      <c r="H292" s="6">
        <v>9092.14</v>
      </c>
      <c r="I292" s="6">
        <v>9092.14</v>
      </c>
      <c r="J292" s="6">
        <v>6849.57</v>
      </c>
      <c r="K292" s="6">
        <v>2242.57</v>
      </c>
      <c r="L292" s="4" t="str">
        <f t="shared" si="1"/>
        <v>Apr-2025</v>
      </c>
    </row>
    <row r="293" ht="15.75" customHeight="1">
      <c r="A293" s="4" t="s">
        <v>520</v>
      </c>
      <c r="B293" s="5">
        <v>45750.0</v>
      </c>
      <c r="C293" s="4" t="s">
        <v>50</v>
      </c>
      <c r="D293" s="4" t="s">
        <v>42</v>
      </c>
      <c r="E293" s="4" t="s">
        <v>29</v>
      </c>
      <c r="F293" s="4" t="s">
        <v>346</v>
      </c>
      <c r="G293" s="4">
        <v>6.0</v>
      </c>
      <c r="H293" s="6">
        <v>4439.71</v>
      </c>
      <c r="I293" s="6">
        <v>26638.26</v>
      </c>
      <c r="J293" s="6">
        <v>22208.18</v>
      </c>
      <c r="K293" s="6">
        <v>4430.08</v>
      </c>
      <c r="L293" s="4" t="str">
        <f t="shared" si="1"/>
        <v>Apr-2025</v>
      </c>
    </row>
    <row r="294" ht="15.75" customHeight="1">
      <c r="A294" s="4" t="s">
        <v>521</v>
      </c>
      <c r="B294" s="5">
        <v>45750.0</v>
      </c>
      <c r="C294" s="4" t="s">
        <v>50</v>
      </c>
      <c r="D294" s="4" t="s">
        <v>42</v>
      </c>
      <c r="E294" s="4" t="s">
        <v>25</v>
      </c>
      <c r="F294" s="4" t="s">
        <v>522</v>
      </c>
      <c r="G294" s="4">
        <v>3.0</v>
      </c>
      <c r="H294" s="6">
        <v>243.46</v>
      </c>
      <c r="I294" s="6">
        <v>730.38</v>
      </c>
      <c r="J294" s="6">
        <v>630.83</v>
      </c>
      <c r="K294" s="6">
        <v>99.55</v>
      </c>
      <c r="L294" s="4" t="str">
        <f t="shared" si="1"/>
        <v>Apr-2025</v>
      </c>
    </row>
    <row r="295" ht="15.75" customHeight="1">
      <c r="A295" s="4" t="s">
        <v>523</v>
      </c>
      <c r="B295" s="5">
        <v>45751.0</v>
      </c>
      <c r="C295" s="4" t="s">
        <v>69</v>
      </c>
      <c r="D295" s="4" t="s">
        <v>19</v>
      </c>
      <c r="E295" s="4" t="s">
        <v>20</v>
      </c>
      <c r="F295" s="4" t="s">
        <v>95</v>
      </c>
      <c r="G295" s="4">
        <v>3.0</v>
      </c>
      <c r="H295" s="6">
        <v>61707.92</v>
      </c>
      <c r="I295" s="6">
        <v>185123.76</v>
      </c>
      <c r="J295" s="6">
        <v>154353.44</v>
      </c>
      <c r="K295" s="6">
        <v>30770.32</v>
      </c>
      <c r="L295" s="4" t="str">
        <f t="shared" si="1"/>
        <v>Apr-2025</v>
      </c>
    </row>
    <row r="296" ht="15.75" customHeight="1">
      <c r="A296" s="4" t="s">
        <v>524</v>
      </c>
      <c r="B296" s="5">
        <v>45751.0</v>
      </c>
      <c r="C296" s="4" t="s">
        <v>160</v>
      </c>
      <c r="D296" s="4" t="s">
        <v>42</v>
      </c>
      <c r="E296" s="4" t="s">
        <v>25</v>
      </c>
      <c r="F296" s="4" t="s">
        <v>382</v>
      </c>
      <c r="G296" s="4">
        <v>1.0</v>
      </c>
      <c r="H296" s="6">
        <v>3432.41</v>
      </c>
      <c r="I296" s="6">
        <v>3432.41</v>
      </c>
      <c r="J296" s="6">
        <v>2918.79</v>
      </c>
      <c r="K296" s="6">
        <v>513.62</v>
      </c>
      <c r="L296" s="4" t="str">
        <f t="shared" si="1"/>
        <v>Apr-2025</v>
      </c>
    </row>
    <row r="297" ht="15.75" customHeight="1">
      <c r="A297" s="4" t="s">
        <v>525</v>
      </c>
      <c r="B297" s="5">
        <v>45752.0</v>
      </c>
      <c r="C297" s="4" t="s">
        <v>69</v>
      </c>
      <c r="D297" s="4" t="s">
        <v>19</v>
      </c>
      <c r="E297" s="4" t="s">
        <v>20</v>
      </c>
      <c r="F297" s="4" t="s">
        <v>197</v>
      </c>
      <c r="G297" s="4">
        <v>5.0</v>
      </c>
      <c r="H297" s="6">
        <v>62325.29</v>
      </c>
      <c r="I297" s="6">
        <v>311626.45</v>
      </c>
      <c r="J297" s="6">
        <v>270100.97</v>
      </c>
      <c r="K297" s="6">
        <v>41525.48</v>
      </c>
      <c r="L297" s="4" t="str">
        <f t="shared" si="1"/>
        <v>Apr-2025</v>
      </c>
    </row>
    <row r="298" ht="15.75" customHeight="1">
      <c r="A298" s="4" t="s">
        <v>526</v>
      </c>
      <c r="B298" s="5">
        <v>45752.0</v>
      </c>
      <c r="C298" s="4" t="s">
        <v>92</v>
      </c>
      <c r="D298" s="4" t="s">
        <v>14</v>
      </c>
      <c r="E298" s="4" t="s">
        <v>25</v>
      </c>
      <c r="F298" s="4" t="s">
        <v>250</v>
      </c>
      <c r="G298" s="4">
        <v>5.0</v>
      </c>
      <c r="H298" s="6">
        <v>643.34</v>
      </c>
      <c r="I298" s="6">
        <v>3216.7</v>
      </c>
      <c r="J298" s="6">
        <v>2462.33</v>
      </c>
      <c r="K298" s="6">
        <v>754.37</v>
      </c>
      <c r="L298" s="4" t="str">
        <f t="shared" si="1"/>
        <v>Apr-2025</v>
      </c>
    </row>
    <row r="299" ht="15.75" customHeight="1">
      <c r="A299" s="4" t="s">
        <v>527</v>
      </c>
      <c r="B299" s="5">
        <v>45753.0</v>
      </c>
      <c r="C299" s="4" t="s">
        <v>61</v>
      </c>
      <c r="D299" s="4" t="s">
        <v>19</v>
      </c>
      <c r="E299" s="4" t="s">
        <v>15</v>
      </c>
      <c r="F299" s="4" t="s">
        <v>64</v>
      </c>
      <c r="G299" s="4">
        <v>2.0</v>
      </c>
      <c r="H299" s="6">
        <v>54614.12</v>
      </c>
      <c r="I299" s="6">
        <v>109228.24</v>
      </c>
      <c r="J299" s="6">
        <v>94111.02</v>
      </c>
      <c r="K299" s="6">
        <v>15117.22</v>
      </c>
      <c r="L299" s="4" t="str">
        <f t="shared" si="1"/>
        <v>Apr-2025</v>
      </c>
    </row>
    <row r="300" ht="15.75" customHeight="1">
      <c r="A300" s="4" t="s">
        <v>528</v>
      </c>
      <c r="B300" s="5">
        <v>45753.0</v>
      </c>
      <c r="C300" s="4" t="s">
        <v>61</v>
      </c>
      <c r="D300" s="4" t="s">
        <v>19</v>
      </c>
      <c r="E300" s="4" t="s">
        <v>25</v>
      </c>
      <c r="F300" s="4" t="s">
        <v>55</v>
      </c>
      <c r="G300" s="4">
        <v>4.0</v>
      </c>
      <c r="H300" s="6">
        <v>70775.19</v>
      </c>
      <c r="I300" s="6">
        <v>283100.76</v>
      </c>
      <c r="J300" s="6">
        <v>249451.87</v>
      </c>
      <c r="K300" s="6">
        <v>33648.89</v>
      </c>
      <c r="L300" s="4" t="str">
        <f t="shared" si="1"/>
        <v>Apr-2025</v>
      </c>
    </row>
    <row r="301" ht="15.75" customHeight="1">
      <c r="A301" s="4" t="s">
        <v>529</v>
      </c>
      <c r="B301" s="5">
        <v>45753.0</v>
      </c>
      <c r="C301" s="4" t="s">
        <v>47</v>
      </c>
      <c r="D301" s="4" t="s">
        <v>14</v>
      </c>
      <c r="E301" s="4" t="s">
        <v>20</v>
      </c>
      <c r="F301" s="4" t="s">
        <v>189</v>
      </c>
      <c r="G301" s="4">
        <v>6.0</v>
      </c>
      <c r="H301" s="6">
        <v>1181.81</v>
      </c>
      <c r="I301" s="6">
        <v>7090.86</v>
      </c>
      <c r="J301" s="6">
        <v>6023.44</v>
      </c>
      <c r="K301" s="6">
        <v>1067.42</v>
      </c>
      <c r="L301" s="4" t="str">
        <f t="shared" si="1"/>
        <v>Apr-2025</v>
      </c>
    </row>
    <row r="302" ht="15.75" customHeight="1">
      <c r="A302" s="4" t="s">
        <v>530</v>
      </c>
      <c r="B302" s="5">
        <v>45753.0</v>
      </c>
      <c r="C302" s="4" t="s">
        <v>41</v>
      </c>
      <c r="D302" s="4" t="s">
        <v>42</v>
      </c>
      <c r="E302" s="4" t="s">
        <v>29</v>
      </c>
      <c r="F302" s="4" t="s">
        <v>86</v>
      </c>
      <c r="G302" s="4">
        <v>5.0</v>
      </c>
      <c r="H302" s="6">
        <v>3666.79</v>
      </c>
      <c r="I302" s="6">
        <v>18333.95</v>
      </c>
      <c r="J302" s="6">
        <v>15378.54</v>
      </c>
      <c r="K302" s="6">
        <v>2955.41</v>
      </c>
      <c r="L302" s="4" t="str">
        <f t="shared" si="1"/>
        <v>Apr-2025</v>
      </c>
    </row>
    <row r="303" ht="15.75" customHeight="1">
      <c r="A303" s="4" t="s">
        <v>531</v>
      </c>
      <c r="B303" s="5">
        <v>45754.0</v>
      </c>
      <c r="C303" s="4" t="s">
        <v>13</v>
      </c>
      <c r="D303" s="4" t="s">
        <v>14</v>
      </c>
      <c r="E303" s="4" t="s">
        <v>15</v>
      </c>
      <c r="F303" s="4" t="s">
        <v>500</v>
      </c>
      <c r="G303" s="4">
        <v>4.0</v>
      </c>
      <c r="H303" s="6">
        <v>792.97</v>
      </c>
      <c r="I303" s="6">
        <v>3171.88</v>
      </c>
      <c r="J303" s="6">
        <v>2361.06</v>
      </c>
      <c r="K303" s="6">
        <v>810.82</v>
      </c>
      <c r="L303" s="4" t="str">
        <f t="shared" si="1"/>
        <v>Apr-2025</v>
      </c>
    </row>
    <row r="304" ht="15.75" customHeight="1">
      <c r="A304" s="4" t="s">
        <v>532</v>
      </c>
      <c r="B304" s="5">
        <v>45754.0</v>
      </c>
      <c r="C304" s="4" t="s">
        <v>92</v>
      </c>
      <c r="D304" s="4" t="s">
        <v>14</v>
      </c>
      <c r="E304" s="4" t="s">
        <v>15</v>
      </c>
      <c r="F304" s="4" t="s">
        <v>346</v>
      </c>
      <c r="G304" s="4">
        <v>2.0</v>
      </c>
      <c r="H304" s="6">
        <v>1217.71</v>
      </c>
      <c r="I304" s="6">
        <v>2435.42</v>
      </c>
      <c r="J304" s="6">
        <v>1736.05</v>
      </c>
      <c r="K304" s="6">
        <v>699.37</v>
      </c>
      <c r="L304" s="4" t="str">
        <f t="shared" si="1"/>
        <v>Apr-2025</v>
      </c>
    </row>
    <row r="305" ht="15.75" customHeight="1">
      <c r="A305" s="4" t="s">
        <v>533</v>
      </c>
      <c r="B305" s="5">
        <v>45755.0</v>
      </c>
      <c r="C305" s="4" t="s">
        <v>102</v>
      </c>
      <c r="D305" s="4" t="s">
        <v>24</v>
      </c>
      <c r="E305" s="4" t="s">
        <v>25</v>
      </c>
      <c r="F305" s="4" t="s">
        <v>167</v>
      </c>
      <c r="G305" s="4">
        <v>3.0</v>
      </c>
      <c r="H305" s="6">
        <v>7655.07</v>
      </c>
      <c r="I305" s="6">
        <v>22965.21</v>
      </c>
      <c r="J305" s="6">
        <v>17343.98</v>
      </c>
      <c r="K305" s="6">
        <v>5621.23</v>
      </c>
      <c r="L305" s="4" t="str">
        <f t="shared" si="1"/>
        <v>Apr-2025</v>
      </c>
    </row>
    <row r="306" ht="15.75" customHeight="1">
      <c r="A306" s="4" t="s">
        <v>534</v>
      </c>
      <c r="B306" s="5">
        <v>45755.0</v>
      </c>
      <c r="C306" s="4" t="s">
        <v>32</v>
      </c>
      <c r="D306" s="4" t="s">
        <v>19</v>
      </c>
      <c r="E306" s="4" t="s">
        <v>29</v>
      </c>
      <c r="F306" s="4" t="s">
        <v>225</v>
      </c>
      <c r="G306" s="4">
        <v>6.0</v>
      </c>
      <c r="H306" s="6">
        <v>74145.99</v>
      </c>
      <c r="I306" s="6">
        <v>444875.94</v>
      </c>
      <c r="J306" s="6">
        <v>390904.94</v>
      </c>
      <c r="K306" s="6">
        <v>53971.0</v>
      </c>
      <c r="L306" s="4" t="str">
        <f t="shared" si="1"/>
        <v>Apr-2025</v>
      </c>
    </row>
    <row r="307" ht="15.75" customHeight="1">
      <c r="A307" s="4" t="s">
        <v>535</v>
      </c>
      <c r="B307" s="5">
        <v>45755.0</v>
      </c>
      <c r="C307" s="4" t="s">
        <v>61</v>
      </c>
      <c r="D307" s="4" t="s">
        <v>19</v>
      </c>
      <c r="E307" s="4" t="s">
        <v>25</v>
      </c>
      <c r="F307" s="4" t="s">
        <v>356</v>
      </c>
      <c r="G307" s="4">
        <v>7.0</v>
      </c>
      <c r="H307" s="6">
        <v>44473.09</v>
      </c>
      <c r="I307" s="6">
        <v>311311.63</v>
      </c>
      <c r="J307" s="6">
        <v>271174.62</v>
      </c>
      <c r="K307" s="6">
        <v>40137.01</v>
      </c>
      <c r="L307" s="4" t="str">
        <f t="shared" si="1"/>
        <v>Apr-2025</v>
      </c>
    </row>
    <row r="308" ht="15.75" customHeight="1">
      <c r="A308" s="4" t="s">
        <v>536</v>
      </c>
      <c r="B308" s="5">
        <v>45756.0</v>
      </c>
      <c r="C308" s="4" t="s">
        <v>92</v>
      </c>
      <c r="D308" s="4" t="s">
        <v>14</v>
      </c>
      <c r="E308" s="4" t="s">
        <v>29</v>
      </c>
      <c r="F308" s="4" t="s">
        <v>16</v>
      </c>
      <c r="G308" s="4">
        <v>7.0</v>
      </c>
      <c r="H308" s="6">
        <v>961.33</v>
      </c>
      <c r="I308" s="6">
        <v>6729.31</v>
      </c>
      <c r="J308" s="6">
        <v>5399.86</v>
      </c>
      <c r="K308" s="6">
        <v>1329.45</v>
      </c>
      <c r="L308" s="4" t="str">
        <f t="shared" si="1"/>
        <v>Apr-2025</v>
      </c>
    </row>
    <row r="309" ht="15.75" customHeight="1">
      <c r="A309" s="4" t="s">
        <v>537</v>
      </c>
      <c r="B309" s="5">
        <v>45756.0</v>
      </c>
      <c r="C309" s="4" t="s">
        <v>13</v>
      </c>
      <c r="D309" s="4" t="s">
        <v>14</v>
      </c>
      <c r="E309" s="4" t="s">
        <v>25</v>
      </c>
      <c r="F309" s="4" t="s">
        <v>26</v>
      </c>
      <c r="G309" s="4">
        <v>2.0</v>
      </c>
      <c r="H309" s="6">
        <v>412.52</v>
      </c>
      <c r="I309" s="6">
        <v>825.04</v>
      </c>
      <c r="J309" s="6">
        <v>622.48</v>
      </c>
      <c r="K309" s="6">
        <v>202.56</v>
      </c>
      <c r="L309" s="4" t="str">
        <f t="shared" si="1"/>
        <v>Apr-2025</v>
      </c>
    </row>
    <row r="310" ht="15.75" customHeight="1">
      <c r="A310" s="4" t="s">
        <v>538</v>
      </c>
      <c r="B310" s="5">
        <v>45756.0</v>
      </c>
      <c r="C310" s="4" t="s">
        <v>75</v>
      </c>
      <c r="D310" s="4" t="s">
        <v>24</v>
      </c>
      <c r="E310" s="4" t="s">
        <v>25</v>
      </c>
      <c r="F310" s="4" t="s">
        <v>507</v>
      </c>
      <c r="G310" s="4">
        <v>2.0</v>
      </c>
      <c r="H310" s="6">
        <v>4914.54</v>
      </c>
      <c r="I310" s="6">
        <v>9829.08</v>
      </c>
      <c r="J310" s="6">
        <v>8481.27</v>
      </c>
      <c r="K310" s="6">
        <v>1347.81</v>
      </c>
      <c r="L310" s="4" t="str">
        <f t="shared" si="1"/>
        <v>Apr-2025</v>
      </c>
    </row>
    <row r="311" ht="15.75" customHeight="1">
      <c r="A311" s="4" t="s">
        <v>539</v>
      </c>
      <c r="B311" s="5">
        <v>45757.0</v>
      </c>
      <c r="C311" s="4" t="s">
        <v>13</v>
      </c>
      <c r="D311" s="4" t="s">
        <v>14</v>
      </c>
      <c r="E311" s="4" t="s">
        <v>29</v>
      </c>
      <c r="F311" s="4" t="s">
        <v>199</v>
      </c>
      <c r="G311" s="4">
        <v>6.0</v>
      </c>
      <c r="H311" s="6">
        <v>1372.7</v>
      </c>
      <c r="I311" s="6">
        <v>8236.2</v>
      </c>
      <c r="J311" s="6">
        <v>6640.72</v>
      </c>
      <c r="K311" s="6">
        <v>1595.48</v>
      </c>
      <c r="L311" s="4" t="str">
        <f t="shared" si="1"/>
        <v>Apr-2025</v>
      </c>
    </row>
    <row r="312" ht="15.75" customHeight="1">
      <c r="A312" s="4" t="s">
        <v>540</v>
      </c>
      <c r="B312" s="5">
        <v>45758.0</v>
      </c>
      <c r="C312" s="4" t="s">
        <v>155</v>
      </c>
      <c r="D312" s="4" t="s">
        <v>24</v>
      </c>
      <c r="E312" s="4" t="s">
        <v>20</v>
      </c>
      <c r="F312" s="4" t="s">
        <v>541</v>
      </c>
      <c r="G312" s="4">
        <v>7.0</v>
      </c>
      <c r="H312" s="6">
        <v>8460.96</v>
      </c>
      <c r="I312" s="6">
        <v>59226.72</v>
      </c>
      <c r="J312" s="6">
        <v>43721.68</v>
      </c>
      <c r="K312" s="6">
        <v>15505.04</v>
      </c>
      <c r="L312" s="4" t="str">
        <f t="shared" si="1"/>
        <v>Apr-2025</v>
      </c>
    </row>
    <row r="313" ht="15.75" customHeight="1">
      <c r="A313" s="4" t="s">
        <v>542</v>
      </c>
      <c r="B313" s="5">
        <v>45758.0</v>
      </c>
      <c r="C313" s="4" t="s">
        <v>92</v>
      </c>
      <c r="D313" s="4" t="s">
        <v>14</v>
      </c>
      <c r="E313" s="4" t="s">
        <v>25</v>
      </c>
      <c r="F313" s="4" t="s">
        <v>543</v>
      </c>
      <c r="G313" s="4">
        <v>6.0</v>
      </c>
      <c r="H313" s="6">
        <v>1453.25</v>
      </c>
      <c r="I313" s="6">
        <v>8719.5</v>
      </c>
      <c r="J313" s="6">
        <v>6315.06</v>
      </c>
      <c r="K313" s="6">
        <v>2404.44</v>
      </c>
      <c r="L313" s="4" t="str">
        <f t="shared" si="1"/>
        <v>Apr-2025</v>
      </c>
    </row>
    <row r="314" ht="15.75" customHeight="1">
      <c r="A314" s="4" t="s">
        <v>544</v>
      </c>
      <c r="B314" s="5">
        <v>45759.0</v>
      </c>
      <c r="C314" s="4" t="s">
        <v>35</v>
      </c>
      <c r="D314" s="4" t="s">
        <v>14</v>
      </c>
      <c r="E314" s="4" t="s">
        <v>25</v>
      </c>
      <c r="F314" s="4" t="s">
        <v>270</v>
      </c>
      <c r="G314" s="4">
        <v>5.0</v>
      </c>
      <c r="H314" s="6">
        <v>364.97</v>
      </c>
      <c r="I314" s="6">
        <v>1824.85</v>
      </c>
      <c r="J314" s="6">
        <v>1464.58</v>
      </c>
      <c r="K314" s="6">
        <v>360.27</v>
      </c>
      <c r="L314" s="4" t="str">
        <f t="shared" si="1"/>
        <v>Apr-2025</v>
      </c>
    </row>
    <row r="315" ht="15.75" customHeight="1">
      <c r="A315" s="4" t="s">
        <v>545</v>
      </c>
      <c r="B315" s="5">
        <v>45759.0</v>
      </c>
      <c r="C315" s="4" t="s">
        <v>61</v>
      </c>
      <c r="D315" s="4" t="s">
        <v>19</v>
      </c>
      <c r="E315" s="4" t="s">
        <v>20</v>
      </c>
      <c r="F315" s="4" t="s">
        <v>546</v>
      </c>
      <c r="G315" s="4">
        <v>5.0</v>
      </c>
      <c r="H315" s="6">
        <v>6030.5</v>
      </c>
      <c r="I315" s="6">
        <v>30152.5</v>
      </c>
      <c r="J315" s="6">
        <v>27068.57</v>
      </c>
      <c r="K315" s="6">
        <v>3083.93</v>
      </c>
      <c r="L315" s="4" t="str">
        <f t="shared" si="1"/>
        <v>Apr-2025</v>
      </c>
    </row>
    <row r="316" ht="15.75" customHeight="1">
      <c r="A316" s="4" t="s">
        <v>547</v>
      </c>
      <c r="B316" s="5">
        <v>45759.0</v>
      </c>
      <c r="C316" s="4" t="s">
        <v>180</v>
      </c>
      <c r="D316" s="4" t="s">
        <v>19</v>
      </c>
      <c r="E316" s="4" t="s">
        <v>25</v>
      </c>
      <c r="F316" s="4" t="s">
        <v>186</v>
      </c>
      <c r="G316" s="4">
        <v>6.0</v>
      </c>
      <c r="H316" s="6">
        <v>53436.22</v>
      </c>
      <c r="I316" s="6">
        <v>320617.32</v>
      </c>
      <c r="J316" s="6">
        <v>258461.96</v>
      </c>
      <c r="K316" s="6">
        <v>62155.36</v>
      </c>
      <c r="L316" s="4" t="str">
        <f t="shared" si="1"/>
        <v>Apr-2025</v>
      </c>
    </row>
    <row r="317" ht="15.75" customHeight="1">
      <c r="A317" s="4" t="s">
        <v>548</v>
      </c>
      <c r="B317" s="5">
        <v>45759.0</v>
      </c>
      <c r="C317" s="4" t="s">
        <v>61</v>
      </c>
      <c r="D317" s="4" t="s">
        <v>19</v>
      </c>
      <c r="E317" s="4" t="s">
        <v>29</v>
      </c>
      <c r="F317" s="4" t="s">
        <v>250</v>
      </c>
      <c r="G317" s="4">
        <v>1.0</v>
      </c>
      <c r="H317" s="6">
        <v>7025.23</v>
      </c>
      <c r="I317" s="6">
        <v>7025.23</v>
      </c>
      <c r="J317" s="6">
        <v>6419.14</v>
      </c>
      <c r="K317" s="6">
        <v>606.09</v>
      </c>
      <c r="L317" s="4" t="str">
        <f t="shared" si="1"/>
        <v>Apr-2025</v>
      </c>
    </row>
    <row r="318" ht="15.75" customHeight="1">
      <c r="A318" s="4" t="s">
        <v>549</v>
      </c>
      <c r="B318" s="5">
        <v>45759.0</v>
      </c>
      <c r="C318" s="4" t="s">
        <v>35</v>
      </c>
      <c r="D318" s="4" t="s">
        <v>14</v>
      </c>
      <c r="E318" s="4" t="s">
        <v>20</v>
      </c>
      <c r="F318" s="4" t="s">
        <v>114</v>
      </c>
      <c r="G318" s="4">
        <v>1.0</v>
      </c>
      <c r="H318" s="6">
        <v>475.36</v>
      </c>
      <c r="I318" s="6">
        <v>475.36</v>
      </c>
      <c r="J318" s="6">
        <v>342.61</v>
      </c>
      <c r="K318" s="6">
        <v>132.75</v>
      </c>
      <c r="L318" s="4" t="str">
        <f t="shared" si="1"/>
        <v>Apr-2025</v>
      </c>
    </row>
    <row r="319" ht="15.75" customHeight="1">
      <c r="A319" s="4" t="s">
        <v>550</v>
      </c>
      <c r="B319" s="5">
        <v>45759.0</v>
      </c>
      <c r="C319" s="4" t="s">
        <v>28</v>
      </c>
      <c r="D319" s="4" t="s">
        <v>14</v>
      </c>
      <c r="E319" s="4" t="s">
        <v>15</v>
      </c>
      <c r="F319" s="4" t="s">
        <v>158</v>
      </c>
      <c r="G319" s="4">
        <v>3.0</v>
      </c>
      <c r="H319" s="6">
        <v>506.17</v>
      </c>
      <c r="I319" s="6">
        <v>1518.51</v>
      </c>
      <c r="J319" s="6">
        <v>1086.79</v>
      </c>
      <c r="K319" s="6">
        <v>431.72</v>
      </c>
      <c r="L319" s="4" t="str">
        <f t="shared" si="1"/>
        <v>Apr-2025</v>
      </c>
    </row>
    <row r="320" ht="15.75" customHeight="1">
      <c r="A320" s="4" t="s">
        <v>551</v>
      </c>
      <c r="B320" s="5">
        <v>45760.0</v>
      </c>
      <c r="C320" s="4" t="s">
        <v>38</v>
      </c>
      <c r="D320" s="4" t="s">
        <v>19</v>
      </c>
      <c r="E320" s="4" t="s">
        <v>29</v>
      </c>
      <c r="F320" s="4" t="s">
        <v>552</v>
      </c>
      <c r="G320" s="4">
        <v>2.0</v>
      </c>
      <c r="H320" s="6">
        <v>42692.88</v>
      </c>
      <c r="I320" s="6">
        <v>85385.76</v>
      </c>
      <c r="J320" s="6">
        <v>75969.53</v>
      </c>
      <c r="K320" s="6">
        <v>9416.23</v>
      </c>
      <c r="L320" s="4" t="str">
        <f t="shared" si="1"/>
        <v>Apr-2025</v>
      </c>
    </row>
    <row r="321" ht="15.75" customHeight="1">
      <c r="A321" s="4" t="s">
        <v>553</v>
      </c>
      <c r="B321" s="5">
        <v>45760.0</v>
      </c>
      <c r="C321" s="4" t="s">
        <v>28</v>
      </c>
      <c r="D321" s="4" t="s">
        <v>14</v>
      </c>
      <c r="E321" s="4" t="s">
        <v>29</v>
      </c>
      <c r="F321" s="4" t="s">
        <v>39</v>
      </c>
      <c r="G321" s="4">
        <v>4.0</v>
      </c>
      <c r="H321" s="6">
        <v>978.65</v>
      </c>
      <c r="I321" s="6">
        <v>3914.6</v>
      </c>
      <c r="J321" s="6">
        <v>3305.17</v>
      </c>
      <c r="K321" s="6">
        <v>609.43</v>
      </c>
      <c r="L321" s="4" t="str">
        <f t="shared" si="1"/>
        <v>Apr-2025</v>
      </c>
    </row>
    <row r="322" ht="15.75" customHeight="1">
      <c r="A322" s="4" t="s">
        <v>554</v>
      </c>
      <c r="B322" s="5">
        <v>45762.0</v>
      </c>
      <c r="C322" s="4" t="s">
        <v>180</v>
      </c>
      <c r="D322" s="4" t="s">
        <v>19</v>
      </c>
      <c r="E322" s="4" t="s">
        <v>25</v>
      </c>
      <c r="F322" s="4" t="s">
        <v>354</v>
      </c>
      <c r="G322" s="4">
        <v>2.0</v>
      </c>
      <c r="H322" s="6">
        <v>61921.84</v>
      </c>
      <c r="I322" s="6">
        <v>123843.68</v>
      </c>
      <c r="J322" s="6">
        <v>101199.67</v>
      </c>
      <c r="K322" s="6">
        <v>22644.01</v>
      </c>
      <c r="L322" s="4" t="str">
        <f t="shared" si="1"/>
        <v>Apr-2025</v>
      </c>
    </row>
    <row r="323" ht="15.75" customHeight="1">
      <c r="A323" s="4" t="s">
        <v>555</v>
      </c>
      <c r="B323" s="5">
        <v>45762.0</v>
      </c>
      <c r="C323" s="4" t="s">
        <v>18</v>
      </c>
      <c r="D323" s="4" t="s">
        <v>19</v>
      </c>
      <c r="E323" s="4" t="s">
        <v>20</v>
      </c>
      <c r="F323" s="4" t="s">
        <v>245</v>
      </c>
      <c r="G323" s="4">
        <v>4.0</v>
      </c>
      <c r="H323" s="6">
        <v>31813.26</v>
      </c>
      <c r="I323" s="6">
        <v>127253.04</v>
      </c>
      <c r="J323" s="6">
        <v>113237.0</v>
      </c>
      <c r="K323" s="6">
        <v>14016.04</v>
      </c>
      <c r="L323" s="4" t="str">
        <f t="shared" si="1"/>
        <v>Apr-2025</v>
      </c>
    </row>
    <row r="324" ht="15.75" customHeight="1">
      <c r="A324" s="4" t="s">
        <v>556</v>
      </c>
      <c r="B324" s="5">
        <v>45763.0</v>
      </c>
      <c r="C324" s="4" t="s">
        <v>50</v>
      </c>
      <c r="D324" s="4" t="s">
        <v>42</v>
      </c>
      <c r="E324" s="4" t="s">
        <v>15</v>
      </c>
      <c r="F324" s="4" t="s">
        <v>557</v>
      </c>
      <c r="G324" s="4">
        <v>4.0</v>
      </c>
      <c r="H324" s="6">
        <v>3991.88</v>
      </c>
      <c r="I324" s="6">
        <v>15967.52</v>
      </c>
      <c r="J324" s="6">
        <v>14354.52</v>
      </c>
      <c r="K324" s="6">
        <v>1613.0</v>
      </c>
      <c r="L324" s="4" t="str">
        <f t="shared" si="1"/>
        <v>Apr-2025</v>
      </c>
    </row>
    <row r="325" ht="15.75" customHeight="1">
      <c r="A325" s="4" t="s">
        <v>558</v>
      </c>
      <c r="B325" s="5">
        <v>45763.0</v>
      </c>
      <c r="C325" s="4" t="s">
        <v>35</v>
      </c>
      <c r="D325" s="4" t="s">
        <v>14</v>
      </c>
      <c r="E325" s="4" t="s">
        <v>15</v>
      </c>
      <c r="F325" s="4" t="s">
        <v>559</v>
      </c>
      <c r="G325" s="4">
        <v>6.0</v>
      </c>
      <c r="H325" s="6">
        <v>410.48</v>
      </c>
      <c r="I325" s="6">
        <v>2462.88</v>
      </c>
      <c r="J325" s="6">
        <v>1734.41</v>
      </c>
      <c r="K325" s="6">
        <v>728.47</v>
      </c>
      <c r="L325" s="4" t="str">
        <f t="shared" si="1"/>
        <v>Apr-2025</v>
      </c>
    </row>
    <row r="326" ht="15.75" customHeight="1">
      <c r="A326" s="4" t="s">
        <v>560</v>
      </c>
      <c r="B326" s="5">
        <v>45764.0</v>
      </c>
      <c r="C326" s="4" t="s">
        <v>140</v>
      </c>
      <c r="D326" s="4" t="s">
        <v>14</v>
      </c>
      <c r="E326" s="4" t="s">
        <v>29</v>
      </c>
      <c r="F326" s="4" t="s">
        <v>561</v>
      </c>
      <c r="G326" s="4">
        <v>1.0</v>
      </c>
      <c r="H326" s="6">
        <v>1347.8</v>
      </c>
      <c r="I326" s="6">
        <v>1347.8</v>
      </c>
      <c r="J326" s="6">
        <v>1130.6</v>
      </c>
      <c r="K326" s="6">
        <v>217.2</v>
      </c>
      <c r="L326" s="4" t="str">
        <f t="shared" si="1"/>
        <v>Apr-2025</v>
      </c>
    </row>
    <row r="327" ht="15.75" customHeight="1">
      <c r="A327" s="4" t="s">
        <v>562</v>
      </c>
      <c r="B327" s="5">
        <v>45764.0</v>
      </c>
      <c r="C327" s="4" t="s">
        <v>41</v>
      </c>
      <c r="D327" s="4" t="s">
        <v>42</v>
      </c>
      <c r="E327" s="4" t="s">
        <v>25</v>
      </c>
      <c r="F327" s="4" t="s">
        <v>330</v>
      </c>
      <c r="G327" s="4">
        <v>6.0</v>
      </c>
      <c r="H327" s="6">
        <v>1709.28</v>
      </c>
      <c r="I327" s="6">
        <v>10255.68</v>
      </c>
      <c r="J327" s="6">
        <v>8262.15</v>
      </c>
      <c r="K327" s="6">
        <v>1993.53</v>
      </c>
      <c r="L327" s="4" t="str">
        <f t="shared" si="1"/>
        <v>Apr-2025</v>
      </c>
    </row>
    <row r="328" ht="15.75" customHeight="1">
      <c r="A328" s="4" t="s">
        <v>563</v>
      </c>
      <c r="B328" s="5">
        <v>45764.0</v>
      </c>
      <c r="C328" s="4" t="s">
        <v>69</v>
      </c>
      <c r="D328" s="4" t="s">
        <v>19</v>
      </c>
      <c r="E328" s="4" t="s">
        <v>29</v>
      </c>
      <c r="F328" s="4" t="s">
        <v>229</v>
      </c>
      <c r="G328" s="4">
        <v>5.0</v>
      </c>
      <c r="H328" s="6">
        <v>992.55</v>
      </c>
      <c r="I328" s="6">
        <v>4962.75</v>
      </c>
      <c r="J328" s="6">
        <v>4048.63</v>
      </c>
      <c r="K328" s="6">
        <v>914.12</v>
      </c>
      <c r="L328" s="4" t="str">
        <f t="shared" si="1"/>
        <v>Apr-2025</v>
      </c>
    </row>
    <row r="329" ht="15.75" customHeight="1">
      <c r="A329" s="4" t="s">
        <v>564</v>
      </c>
      <c r="B329" s="5">
        <v>45764.0</v>
      </c>
      <c r="C329" s="4" t="s">
        <v>75</v>
      </c>
      <c r="D329" s="4" t="s">
        <v>24</v>
      </c>
      <c r="E329" s="4" t="s">
        <v>25</v>
      </c>
      <c r="F329" s="4" t="s">
        <v>377</v>
      </c>
      <c r="G329" s="4">
        <v>7.0</v>
      </c>
      <c r="H329" s="6">
        <v>4127.66</v>
      </c>
      <c r="I329" s="6">
        <v>28893.62</v>
      </c>
      <c r="J329" s="6">
        <v>22526.58</v>
      </c>
      <c r="K329" s="6">
        <v>6367.04</v>
      </c>
      <c r="L329" s="4" t="str">
        <f t="shared" si="1"/>
        <v>Apr-2025</v>
      </c>
    </row>
    <row r="330" ht="15.75" customHeight="1">
      <c r="A330" s="4" t="s">
        <v>565</v>
      </c>
      <c r="B330" s="5">
        <v>45764.0</v>
      </c>
      <c r="C330" s="4" t="s">
        <v>35</v>
      </c>
      <c r="D330" s="4" t="s">
        <v>14</v>
      </c>
      <c r="E330" s="4" t="s">
        <v>29</v>
      </c>
      <c r="F330" s="4" t="s">
        <v>566</v>
      </c>
      <c r="G330" s="4">
        <v>6.0</v>
      </c>
      <c r="H330" s="6">
        <v>1030.28</v>
      </c>
      <c r="I330" s="6">
        <v>6181.68</v>
      </c>
      <c r="J330" s="6">
        <v>4544.3</v>
      </c>
      <c r="K330" s="6">
        <v>1637.38</v>
      </c>
      <c r="L330" s="4" t="str">
        <f t="shared" si="1"/>
        <v>Apr-2025</v>
      </c>
    </row>
    <row r="331" ht="15.75" customHeight="1">
      <c r="A331" s="4" t="s">
        <v>567</v>
      </c>
      <c r="B331" s="5">
        <v>45764.0</v>
      </c>
      <c r="C331" s="4" t="s">
        <v>35</v>
      </c>
      <c r="D331" s="4" t="s">
        <v>14</v>
      </c>
      <c r="E331" s="4" t="s">
        <v>29</v>
      </c>
      <c r="F331" s="4" t="s">
        <v>219</v>
      </c>
      <c r="G331" s="4">
        <v>6.0</v>
      </c>
      <c r="H331" s="6">
        <v>365.62</v>
      </c>
      <c r="I331" s="6">
        <v>2193.72</v>
      </c>
      <c r="J331" s="6">
        <v>1862.68</v>
      </c>
      <c r="K331" s="6">
        <v>331.04</v>
      </c>
      <c r="L331" s="4" t="str">
        <f t="shared" si="1"/>
        <v>Apr-2025</v>
      </c>
    </row>
    <row r="332" ht="15.75" customHeight="1">
      <c r="A332" s="4" t="s">
        <v>568</v>
      </c>
      <c r="B332" s="5">
        <v>45764.0</v>
      </c>
      <c r="C332" s="4" t="s">
        <v>75</v>
      </c>
      <c r="D332" s="4" t="s">
        <v>24</v>
      </c>
      <c r="E332" s="4" t="s">
        <v>20</v>
      </c>
      <c r="F332" s="4" t="s">
        <v>189</v>
      </c>
      <c r="G332" s="4">
        <v>1.0</v>
      </c>
      <c r="H332" s="6">
        <v>14110.28</v>
      </c>
      <c r="I332" s="6">
        <v>14110.28</v>
      </c>
      <c r="J332" s="6">
        <v>11216.88</v>
      </c>
      <c r="K332" s="6">
        <v>2893.4</v>
      </c>
      <c r="L332" s="4" t="str">
        <f t="shared" si="1"/>
        <v>Apr-2025</v>
      </c>
    </row>
    <row r="333" ht="15.75" customHeight="1">
      <c r="A333" s="4" t="s">
        <v>569</v>
      </c>
      <c r="B333" s="5">
        <v>45765.0</v>
      </c>
      <c r="C333" s="4" t="s">
        <v>35</v>
      </c>
      <c r="D333" s="4" t="s">
        <v>14</v>
      </c>
      <c r="E333" s="4" t="s">
        <v>25</v>
      </c>
      <c r="F333" s="4" t="s">
        <v>377</v>
      </c>
      <c r="G333" s="4">
        <v>7.0</v>
      </c>
      <c r="H333" s="6">
        <v>775.69</v>
      </c>
      <c r="I333" s="6">
        <v>5429.83</v>
      </c>
      <c r="J333" s="6">
        <v>4110.0</v>
      </c>
      <c r="K333" s="6">
        <v>1319.83</v>
      </c>
      <c r="L333" s="4" t="str">
        <f t="shared" si="1"/>
        <v>Apr-2025</v>
      </c>
    </row>
    <row r="334" ht="15.75" customHeight="1">
      <c r="A334" s="4" t="s">
        <v>570</v>
      </c>
      <c r="B334" s="5">
        <v>45765.0</v>
      </c>
      <c r="C334" s="4" t="s">
        <v>13</v>
      </c>
      <c r="D334" s="4" t="s">
        <v>14</v>
      </c>
      <c r="E334" s="4" t="s">
        <v>29</v>
      </c>
      <c r="F334" s="4" t="s">
        <v>362</v>
      </c>
      <c r="G334" s="4">
        <v>7.0</v>
      </c>
      <c r="H334" s="6">
        <v>826.27</v>
      </c>
      <c r="I334" s="6">
        <v>5783.89</v>
      </c>
      <c r="J334" s="6">
        <v>4689.91</v>
      </c>
      <c r="K334" s="6">
        <v>1093.98</v>
      </c>
      <c r="L334" s="4" t="str">
        <f t="shared" si="1"/>
        <v>Apr-2025</v>
      </c>
    </row>
    <row r="335" ht="15.75" customHeight="1">
      <c r="A335" s="4" t="s">
        <v>571</v>
      </c>
      <c r="B335" s="5">
        <v>45765.0</v>
      </c>
      <c r="C335" s="4" t="s">
        <v>47</v>
      </c>
      <c r="D335" s="4" t="s">
        <v>14</v>
      </c>
      <c r="E335" s="4" t="s">
        <v>25</v>
      </c>
      <c r="F335" s="4" t="s">
        <v>114</v>
      </c>
      <c r="G335" s="4">
        <v>4.0</v>
      </c>
      <c r="H335" s="6">
        <v>194.51</v>
      </c>
      <c r="I335" s="6">
        <v>778.04</v>
      </c>
      <c r="J335" s="6">
        <v>531.65</v>
      </c>
      <c r="K335" s="6">
        <v>246.39</v>
      </c>
      <c r="L335" s="4" t="str">
        <f t="shared" si="1"/>
        <v>Apr-2025</v>
      </c>
    </row>
    <row r="336" ht="15.75" customHeight="1">
      <c r="A336" s="4" t="s">
        <v>572</v>
      </c>
      <c r="B336" s="5">
        <v>45765.0</v>
      </c>
      <c r="C336" s="4" t="s">
        <v>140</v>
      </c>
      <c r="D336" s="4" t="s">
        <v>14</v>
      </c>
      <c r="E336" s="4" t="s">
        <v>25</v>
      </c>
      <c r="F336" s="4" t="s">
        <v>573</v>
      </c>
      <c r="G336" s="4">
        <v>6.0</v>
      </c>
      <c r="H336" s="6">
        <v>1404.35</v>
      </c>
      <c r="I336" s="6">
        <v>8426.1</v>
      </c>
      <c r="J336" s="6">
        <v>5982.01</v>
      </c>
      <c r="K336" s="6">
        <v>2444.09</v>
      </c>
      <c r="L336" s="4" t="str">
        <f t="shared" si="1"/>
        <v>Apr-2025</v>
      </c>
    </row>
    <row r="337" ht="15.75" customHeight="1">
      <c r="A337" s="4" t="s">
        <v>574</v>
      </c>
      <c r="B337" s="5">
        <v>45765.0</v>
      </c>
      <c r="C337" s="4" t="s">
        <v>35</v>
      </c>
      <c r="D337" s="4" t="s">
        <v>14</v>
      </c>
      <c r="E337" s="4" t="s">
        <v>29</v>
      </c>
      <c r="F337" s="4" t="s">
        <v>575</v>
      </c>
      <c r="G337" s="4">
        <v>5.0</v>
      </c>
      <c r="H337" s="6">
        <v>1297.97</v>
      </c>
      <c r="I337" s="6">
        <v>6489.85</v>
      </c>
      <c r="J337" s="6">
        <v>5081.58</v>
      </c>
      <c r="K337" s="6">
        <v>1408.27</v>
      </c>
      <c r="L337" s="4" t="str">
        <f t="shared" si="1"/>
        <v>Apr-2025</v>
      </c>
    </row>
    <row r="338" ht="15.75" customHeight="1">
      <c r="A338" s="4" t="s">
        <v>576</v>
      </c>
      <c r="B338" s="5">
        <v>45766.0</v>
      </c>
      <c r="C338" s="4" t="s">
        <v>69</v>
      </c>
      <c r="D338" s="4" t="s">
        <v>19</v>
      </c>
      <c r="E338" s="4" t="s">
        <v>29</v>
      </c>
      <c r="F338" s="4" t="s">
        <v>573</v>
      </c>
      <c r="G338" s="4">
        <v>6.0</v>
      </c>
      <c r="H338" s="6">
        <v>40972.44</v>
      </c>
      <c r="I338" s="6">
        <v>245834.64</v>
      </c>
      <c r="J338" s="6">
        <v>221620.57</v>
      </c>
      <c r="K338" s="6">
        <v>24214.07</v>
      </c>
      <c r="L338" s="4" t="str">
        <f t="shared" si="1"/>
        <v>Apr-2025</v>
      </c>
    </row>
    <row r="339" ht="15.75" customHeight="1">
      <c r="A339" s="4" t="s">
        <v>577</v>
      </c>
      <c r="B339" s="5">
        <v>45766.0</v>
      </c>
      <c r="C339" s="4" t="s">
        <v>180</v>
      </c>
      <c r="D339" s="4" t="s">
        <v>19</v>
      </c>
      <c r="E339" s="4" t="s">
        <v>15</v>
      </c>
      <c r="F339" s="4" t="s">
        <v>418</v>
      </c>
      <c r="G339" s="4">
        <v>5.0</v>
      </c>
      <c r="H339" s="6">
        <v>2164.59</v>
      </c>
      <c r="I339" s="6">
        <v>10822.95</v>
      </c>
      <c r="J339" s="6">
        <v>8769.66</v>
      </c>
      <c r="K339" s="6">
        <v>2053.29</v>
      </c>
      <c r="L339" s="4" t="str">
        <f t="shared" si="1"/>
        <v>Apr-2025</v>
      </c>
    </row>
    <row r="340" ht="15.75" customHeight="1">
      <c r="A340" s="4" t="s">
        <v>578</v>
      </c>
      <c r="B340" s="5">
        <v>45767.0</v>
      </c>
      <c r="C340" s="4" t="s">
        <v>155</v>
      </c>
      <c r="D340" s="4" t="s">
        <v>24</v>
      </c>
      <c r="E340" s="4" t="s">
        <v>15</v>
      </c>
      <c r="F340" s="4" t="s">
        <v>579</v>
      </c>
      <c r="G340" s="4">
        <v>5.0</v>
      </c>
      <c r="H340" s="6">
        <v>4722.35</v>
      </c>
      <c r="I340" s="6">
        <v>23611.75</v>
      </c>
      <c r="J340" s="6">
        <v>19809.45</v>
      </c>
      <c r="K340" s="6">
        <v>3802.3</v>
      </c>
      <c r="L340" s="4" t="str">
        <f t="shared" si="1"/>
        <v>Apr-2025</v>
      </c>
    </row>
    <row r="341" ht="15.75" customHeight="1">
      <c r="A341" s="4" t="s">
        <v>580</v>
      </c>
      <c r="B341" s="5">
        <v>45767.0</v>
      </c>
      <c r="C341" s="4" t="s">
        <v>18</v>
      </c>
      <c r="D341" s="4" t="s">
        <v>19</v>
      </c>
      <c r="E341" s="4" t="s">
        <v>20</v>
      </c>
      <c r="F341" s="4" t="s">
        <v>97</v>
      </c>
      <c r="G341" s="4">
        <v>7.0</v>
      </c>
      <c r="H341" s="6">
        <v>69126.47</v>
      </c>
      <c r="I341" s="6">
        <v>483885.29</v>
      </c>
      <c r="J341" s="6">
        <v>394662.86</v>
      </c>
      <c r="K341" s="6">
        <v>89222.43</v>
      </c>
      <c r="L341" s="4" t="str">
        <f t="shared" si="1"/>
        <v>Apr-2025</v>
      </c>
    </row>
    <row r="342" ht="15.75" customHeight="1">
      <c r="A342" s="4" t="s">
        <v>581</v>
      </c>
      <c r="B342" s="5">
        <v>45768.0</v>
      </c>
      <c r="C342" s="4" t="s">
        <v>140</v>
      </c>
      <c r="D342" s="4" t="s">
        <v>14</v>
      </c>
      <c r="E342" s="4" t="s">
        <v>20</v>
      </c>
      <c r="F342" s="4" t="s">
        <v>579</v>
      </c>
      <c r="G342" s="4">
        <v>2.0</v>
      </c>
      <c r="H342" s="6">
        <v>63.53</v>
      </c>
      <c r="I342" s="6">
        <v>127.06</v>
      </c>
      <c r="J342" s="6">
        <v>86.58</v>
      </c>
      <c r="K342" s="6">
        <v>40.48</v>
      </c>
      <c r="L342" s="4" t="str">
        <f t="shared" si="1"/>
        <v>Apr-2025</v>
      </c>
    </row>
    <row r="343" ht="15.75" customHeight="1">
      <c r="A343" s="4" t="s">
        <v>582</v>
      </c>
      <c r="B343" s="5">
        <v>45768.0</v>
      </c>
      <c r="C343" s="4" t="s">
        <v>72</v>
      </c>
      <c r="D343" s="4" t="s">
        <v>24</v>
      </c>
      <c r="E343" s="4" t="s">
        <v>29</v>
      </c>
      <c r="F343" s="4" t="s">
        <v>478</v>
      </c>
      <c r="G343" s="4">
        <v>1.0</v>
      </c>
      <c r="H343" s="6">
        <v>10465.13</v>
      </c>
      <c r="I343" s="6">
        <v>10465.13</v>
      </c>
      <c r="J343" s="6">
        <v>8644.29</v>
      </c>
      <c r="K343" s="6">
        <v>1820.84</v>
      </c>
      <c r="L343" s="4" t="str">
        <f t="shared" si="1"/>
        <v>Apr-2025</v>
      </c>
    </row>
    <row r="344" ht="15.75" customHeight="1">
      <c r="A344" s="4" t="s">
        <v>583</v>
      </c>
      <c r="B344" s="5">
        <v>45768.0</v>
      </c>
      <c r="C344" s="4" t="s">
        <v>13</v>
      </c>
      <c r="D344" s="4" t="s">
        <v>14</v>
      </c>
      <c r="E344" s="4" t="s">
        <v>25</v>
      </c>
      <c r="F344" s="4" t="s">
        <v>53</v>
      </c>
      <c r="G344" s="4">
        <v>1.0</v>
      </c>
      <c r="H344" s="6">
        <v>1279.08</v>
      </c>
      <c r="I344" s="6">
        <v>1279.08</v>
      </c>
      <c r="J344" s="6">
        <v>912.01</v>
      </c>
      <c r="K344" s="6">
        <v>367.07</v>
      </c>
      <c r="L344" s="4" t="str">
        <f t="shared" si="1"/>
        <v>Apr-2025</v>
      </c>
    </row>
    <row r="345" ht="15.75" customHeight="1">
      <c r="A345" s="4" t="s">
        <v>584</v>
      </c>
      <c r="B345" s="5">
        <v>45768.0</v>
      </c>
      <c r="C345" s="4" t="s">
        <v>28</v>
      </c>
      <c r="D345" s="4" t="s">
        <v>14</v>
      </c>
      <c r="E345" s="4" t="s">
        <v>15</v>
      </c>
      <c r="F345" s="4" t="s">
        <v>585</v>
      </c>
      <c r="G345" s="4">
        <v>5.0</v>
      </c>
      <c r="H345" s="6">
        <v>862.13</v>
      </c>
      <c r="I345" s="6">
        <v>4310.65</v>
      </c>
      <c r="J345" s="6">
        <v>3537.94</v>
      </c>
      <c r="K345" s="6">
        <v>772.71</v>
      </c>
      <c r="L345" s="4" t="str">
        <f t="shared" si="1"/>
        <v>Apr-2025</v>
      </c>
    </row>
    <row r="346" ht="15.75" customHeight="1">
      <c r="A346" s="4" t="s">
        <v>586</v>
      </c>
      <c r="B346" s="5">
        <v>45769.0</v>
      </c>
      <c r="C346" s="4" t="s">
        <v>38</v>
      </c>
      <c r="D346" s="4" t="s">
        <v>19</v>
      </c>
      <c r="E346" s="4" t="s">
        <v>29</v>
      </c>
      <c r="F346" s="4" t="s">
        <v>478</v>
      </c>
      <c r="G346" s="4">
        <v>5.0</v>
      </c>
      <c r="H346" s="6">
        <v>26015.17</v>
      </c>
      <c r="I346" s="6">
        <v>130075.85</v>
      </c>
      <c r="J346" s="6">
        <v>111820.06</v>
      </c>
      <c r="K346" s="6">
        <v>18255.79</v>
      </c>
      <c r="L346" s="4" t="str">
        <f t="shared" si="1"/>
        <v>Apr-2025</v>
      </c>
    </row>
    <row r="347" ht="15.75" customHeight="1">
      <c r="A347" s="4" t="s">
        <v>587</v>
      </c>
      <c r="B347" s="5">
        <v>45769.0</v>
      </c>
      <c r="C347" s="4" t="s">
        <v>180</v>
      </c>
      <c r="D347" s="4" t="s">
        <v>19</v>
      </c>
      <c r="E347" s="4" t="s">
        <v>25</v>
      </c>
      <c r="F347" s="4" t="s">
        <v>93</v>
      </c>
      <c r="G347" s="4">
        <v>3.0</v>
      </c>
      <c r="H347" s="6">
        <v>46442.58</v>
      </c>
      <c r="I347" s="6">
        <v>139327.74</v>
      </c>
      <c r="J347" s="6">
        <v>112956.8</v>
      </c>
      <c r="K347" s="6">
        <v>26370.94</v>
      </c>
      <c r="L347" s="4" t="str">
        <f t="shared" si="1"/>
        <v>Apr-2025</v>
      </c>
    </row>
    <row r="348" ht="15.75" customHeight="1">
      <c r="A348" s="4" t="s">
        <v>588</v>
      </c>
      <c r="B348" s="5">
        <v>45769.0</v>
      </c>
      <c r="C348" s="4" t="s">
        <v>155</v>
      </c>
      <c r="D348" s="4" t="s">
        <v>24</v>
      </c>
      <c r="E348" s="4" t="s">
        <v>20</v>
      </c>
      <c r="F348" s="4" t="s">
        <v>323</v>
      </c>
      <c r="G348" s="4">
        <v>7.0</v>
      </c>
      <c r="H348" s="6">
        <v>12094.84</v>
      </c>
      <c r="I348" s="6">
        <v>84663.88</v>
      </c>
      <c r="J348" s="6">
        <v>63383.02</v>
      </c>
      <c r="K348" s="6">
        <v>21280.86</v>
      </c>
      <c r="L348" s="4" t="str">
        <f t="shared" si="1"/>
        <v>Apr-2025</v>
      </c>
    </row>
    <row r="349" ht="15.75" customHeight="1">
      <c r="A349" s="4" t="s">
        <v>589</v>
      </c>
      <c r="B349" s="5">
        <v>45769.0</v>
      </c>
      <c r="C349" s="4" t="s">
        <v>50</v>
      </c>
      <c r="D349" s="4" t="s">
        <v>42</v>
      </c>
      <c r="E349" s="4" t="s">
        <v>25</v>
      </c>
      <c r="F349" s="4" t="s">
        <v>181</v>
      </c>
      <c r="G349" s="4">
        <v>1.0</v>
      </c>
      <c r="H349" s="6">
        <v>565.21</v>
      </c>
      <c r="I349" s="6">
        <v>565.21</v>
      </c>
      <c r="J349" s="6">
        <v>459.26</v>
      </c>
      <c r="K349" s="6">
        <v>105.95</v>
      </c>
      <c r="L349" s="4" t="str">
        <f t="shared" si="1"/>
        <v>Apr-2025</v>
      </c>
    </row>
    <row r="350" ht="15.75" customHeight="1">
      <c r="A350" s="4" t="s">
        <v>590</v>
      </c>
      <c r="B350" s="5">
        <v>45770.0</v>
      </c>
      <c r="C350" s="4" t="s">
        <v>28</v>
      </c>
      <c r="D350" s="4" t="s">
        <v>14</v>
      </c>
      <c r="E350" s="4" t="s">
        <v>20</v>
      </c>
      <c r="F350" s="4" t="s">
        <v>386</v>
      </c>
      <c r="G350" s="4">
        <v>5.0</v>
      </c>
      <c r="H350" s="6">
        <v>494.83</v>
      </c>
      <c r="I350" s="6">
        <v>2474.15</v>
      </c>
      <c r="J350" s="6">
        <v>1962.52</v>
      </c>
      <c r="K350" s="6">
        <v>511.63</v>
      </c>
      <c r="L350" s="4" t="str">
        <f t="shared" si="1"/>
        <v>Apr-2025</v>
      </c>
    </row>
    <row r="351" ht="15.75" customHeight="1">
      <c r="A351" s="4" t="s">
        <v>591</v>
      </c>
      <c r="B351" s="5">
        <v>45770.0</v>
      </c>
      <c r="C351" s="4" t="s">
        <v>72</v>
      </c>
      <c r="D351" s="4" t="s">
        <v>24</v>
      </c>
      <c r="E351" s="4" t="s">
        <v>25</v>
      </c>
      <c r="F351" s="4" t="s">
        <v>210</v>
      </c>
      <c r="G351" s="4">
        <v>1.0</v>
      </c>
      <c r="H351" s="6">
        <v>3834.47</v>
      </c>
      <c r="I351" s="6">
        <v>3834.47</v>
      </c>
      <c r="J351" s="6">
        <v>3237.72</v>
      </c>
      <c r="K351" s="6">
        <v>596.75</v>
      </c>
      <c r="L351" s="4" t="str">
        <f t="shared" si="1"/>
        <v>Apr-2025</v>
      </c>
    </row>
    <row r="352" ht="15.75" customHeight="1">
      <c r="A352" s="4" t="s">
        <v>592</v>
      </c>
      <c r="B352" s="5">
        <v>45770.0</v>
      </c>
      <c r="C352" s="4" t="s">
        <v>18</v>
      </c>
      <c r="D352" s="4" t="s">
        <v>19</v>
      </c>
      <c r="E352" s="4" t="s">
        <v>20</v>
      </c>
      <c r="F352" s="4" t="s">
        <v>543</v>
      </c>
      <c r="G352" s="4">
        <v>1.0</v>
      </c>
      <c r="H352" s="6">
        <v>20595.15</v>
      </c>
      <c r="I352" s="6">
        <v>20595.15</v>
      </c>
      <c r="J352" s="6">
        <v>16533.91</v>
      </c>
      <c r="K352" s="6">
        <v>4061.24</v>
      </c>
      <c r="L352" s="4" t="str">
        <f t="shared" si="1"/>
        <v>Apr-2025</v>
      </c>
    </row>
    <row r="353" ht="15.75" customHeight="1">
      <c r="A353" s="4" t="s">
        <v>593</v>
      </c>
      <c r="B353" s="5">
        <v>45770.0</v>
      </c>
      <c r="C353" s="4" t="s">
        <v>18</v>
      </c>
      <c r="D353" s="4" t="s">
        <v>19</v>
      </c>
      <c r="E353" s="4" t="s">
        <v>20</v>
      </c>
      <c r="F353" s="4" t="s">
        <v>594</v>
      </c>
      <c r="G353" s="4">
        <v>6.0</v>
      </c>
      <c r="H353" s="6">
        <v>1862.19</v>
      </c>
      <c r="I353" s="6">
        <v>11173.14</v>
      </c>
      <c r="J353" s="6">
        <v>9289.97</v>
      </c>
      <c r="K353" s="6">
        <v>1883.17</v>
      </c>
      <c r="L353" s="4" t="str">
        <f t="shared" si="1"/>
        <v>Apr-2025</v>
      </c>
    </row>
    <row r="354" ht="15.75" customHeight="1">
      <c r="A354" s="4" t="s">
        <v>595</v>
      </c>
      <c r="B354" s="5">
        <v>45770.0</v>
      </c>
      <c r="C354" s="4" t="s">
        <v>50</v>
      </c>
      <c r="D354" s="4" t="s">
        <v>42</v>
      </c>
      <c r="E354" s="4" t="s">
        <v>29</v>
      </c>
      <c r="F354" s="4" t="s">
        <v>596</v>
      </c>
      <c r="G354" s="4">
        <v>1.0</v>
      </c>
      <c r="H354" s="6">
        <v>1739.36</v>
      </c>
      <c r="I354" s="6">
        <v>1739.36</v>
      </c>
      <c r="J354" s="6">
        <v>1510.3</v>
      </c>
      <c r="K354" s="6">
        <v>229.06</v>
      </c>
      <c r="L354" s="4" t="str">
        <f t="shared" si="1"/>
        <v>Apr-2025</v>
      </c>
    </row>
    <row r="355" ht="15.75" customHeight="1">
      <c r="A355" s="4" t="s">
        <v>597</v>
      </c>
      <c r="B355" s="5">
        <v>45771.0</v>
      </c>
      <c r="C355" s="4" t="s">
        <v>180</v>
      </c>
      <c r="D355" s="4" t="s">
        <v>19</v>
      </c>
      <c r="E355" s="4" t="s">
        <v>15</v>
      </c>
      <c r="F355" s="4" t="s">
        <v>127</v>
      </c>
      <c r="G355" s="4">
        <v>5.0</v>
      </c>
      <c r="H355" s="6">
        <v>3707.63</v>
      </c>
      <c r="I355" s="6">
        <v>18538.15</v>
      </c>
      <c r="J355" s="6">
        <v>16125.34</v>
      </c>
      <c r="K355" s="6">
        <v>2412.81</v>
      </c>
      <c r="L355" s="4" t="str">
        <f t="shared" si="1"/>
        <v>Apr-2025</v>
      </c>
    </row>
    <row r="356" ht="15.75" customHeight="1">
      <c r="A356" s="4" t="s">
        <v>598</v>
      </c>
      <c r="B356" s="5">
        <v>45771.0</v>
      </c>
      <c r="C356" s="4" t="s">
        <v>109</v>
      </c>
      <c r="D356" s="4" t="s">
        <v>42</v>
      </c>
      <c r="E356" s="4" t="s">
        <v>25</v>
      </c>
      <c r="F356" s="4" t="s">
        <v>103</v>
      </c>
      <c r="G356" s="4">
        <v>6.0</v>
      </c>
      <c r="H356" s="6">
        <v>3171.78</v>
      </c>
      <c r="I356" s="6">
        <v>19030.68</v>
      </c>
      <c r="J356" s="6">
        <v>16651.04</v>
      </c>
      <c r="K356" s="6">
        <v>2379.64</v>
      </c>
      <c r="L356" s="4" t="str">
        <f t="shared" si="1"/>
        <v>Apr-2025</v>
      </c>
    </row>
    <row r="357" ht="15.75" customHeight="1">
      <c r="A357" s="4" t="s">
        <v>599</v>
      </c>
      <c r="B357" s="5">
        <v>45771.0</v>
      </c>
      <c r="C357" s="4" t="s">
        <v>75</v>
      </c>
      <c r="D357" s="4" t="s">
        <v>24</v>
      </c>
      <c r="E357" s="4" t="s">
        <v>29</v>
      </c>
      <c r="F357" s="4" t="s">
        <v>248</v>
      </c>
      <c r="G357" s="4">
        <v>2.0</v>
      </c>
      <c r="H357" s="6">
        <v>16585.54</v>
      </c>
      <c r="I357" s="6">
        <v>33171.08</v>
      </c>
      <c r="J357" s="6">
        <v>26505.24</v>
      </c>
      <c r="K357" s="6">
        <v>6665.84</v>
      </c>
      <c r="L357" s="4" t="str">
        <f t="shared" si="1"/>
        <v>Apr-2025</v>
      </c>
    </row>
    <row r="358" ht="15.75" customHeight="1">
      <c r="A358" s="4" t="s">
        <v>600</v>
      </c>
      <c r="B358" s="5">
        <v>45771.0</v>
      </c>
      <c r="C358" s="4" t="s">
        <v>32</v>
      </c>
      <c r="D358" s="4" t="s">
        <v>19</v>
      </c>
      <c r="E358" s="4" t="s">
        <v>29</v>
      </c>
      <c r="F358" s="4" t="s">
        <v>497</v>
      </c>
      <c r="G358" s="4">
        <v>6.0</v>
      </c>
      <c r="H358" s="6">
        <v>65840.79</v>
      </c>
      <c r="I358" s="6">
        <v>395044.74</v>
      </c>
      <c r="J358" s="6">
        <v>355937.54</v>
      </c>
      <c r="K358" s="6">
        <v>39107.2</v>
      </c>
      <c r="L358" s="4" t="str">
        <f t="shared" si="1"/>
        <v>Apr-2025</v>
      </c>
    </row>
    <row r="359" ht="15.75" customHeight="1">
      <c r="A359" s="4" t="s">
        <v>601</v>
      </c>
      <c r="B359" s="5">
        <v>45772.0</v>
      </c>
      <c r="C359" s="4" t="s">
        <v>75</v>
      </c>
      <c r="D359" s="4" t="s">
        <v>24</v>
      </c>
      <c r="E359" s="4" t="s">
        <v>25</v>
      </c>
      <c r="F359" s="4" t="s">
        <v>205</v>
      </c>
      <c r="G359" s="4">
        <v>1.0</v>
      </c>
      <c r="H359" s="6">
        <v>10070.27</v>
      </c>
      <c r="I359" s="6">
        <v>10070.27</v>
      </c>
      <c r="J359" s="6">
        <v>8446.32</v>
      </c>
      <c r="K359" s="6">
        <v>1623.95</v>
      </c>
      <c r="L359" s="4" t="str">
        <f t="shared" si="1"/>
        <v>Apr-2025</v>
      </c>
    </row>
    <row r="360" ht="15.75" customHeight="1">
      <c r="A360" s="4" t="s">
        <v>602</v>
      </c>
      <c r="B360" s="5">
        <v>45772.0</v>
      </c>
      <c r="C360" s="4" t="s">
        <v>32</v>
      </c>
      <c r="D360" s="4" t="s">
        <v>19</v>
      </c>
      <c r="E360" s="4" t="s">
        <v>25</v>
      </c>
      <c r="F360" s="4" t="s">
        <v>446</v>
      </c>
      <c r="G360" s="4">
        <v>1.0</v>
      </c>
      <c r="H360" s="6">
        <v>16522.56</v>
      </c>
      <c r="I360" s="6">
        <v>16522.56</v>
      </c>
      <c r="J360" s="6">
        <v>14584.13</v>
      </c>
      <c r="K360" s="6">
        <v>1938.43</v>
      </c>
      <c r="L360" s="4" t="str">
        <f t="shared" si="1"/>
        <v>Apr-2025</v>
      </c>
    </row>
    <row r="361" ht="15.75" customHeight="1">
      <c r="A361" s="4" t="s">
        <v>603</v>
      </c>
      <c r="B361" s="5">
        <v>45773.0</v>
      </c>
      <c r="C361" s="4" t="s">
        <v>38</v>
      </c>
      <c r="D361" s="4" t="s">
        <v>19</v>
      </c>
      <c r="E361" s="4" t="s">
        <v>25</v>
      </c>
      <c r="F361" s="4" t="s">
        <v>125</v>
      </c>
      <c r="G361" s="4">
        <v>2.0</v>
      </c>
      <c r="H361" s="6">
        <v>18148.91</v>
      </c>
      <c r="I361" s="6">
        <v>36297.82</v>
      </c>
      <c r="J361" s="6">
        <v>33290.73</v>
      </c>
      <c r="K361" s="6">
        <v>3007.09</v>
      </c>
      <c r="L361" s="4" t="str">
        <f t="shared" si="1"/>
        <v>Apr-2025</v>
      </c>
    </row>
    <row r="362" ht="15.75" customHeight="1">
      <c r="A362" s="4" t="s">
        <v>604</v>
      </c>
      <c r="B362" s="5">
        <v>45773.0</v>
      </c>
      <c r="C362" s="4" t="s">
        <v>32</v>
      </c>
      <c r="D362" s="4" t="s">
        <v>19</v>
      </c>
      <c r="E362" s="4" t="s">
        <v>25</v>
      </c>
      <c r="F362" s="4" t="s">
        <v>53</v>
      </c>
      <c r="G362" s="4">
        <v>6.0</v>
      </c>
      <c r="H362" s="6">
        <v>49701.17</v>
      </c>
      <c r="I362" s="6">
        <v>298207.02</v>
      </c>
      <c r="J362" s="6">
        <v>266791.56</v>
      </c>
      <c r="K362" s="6">
        <v>31415.46</v>
      </c>
      <c r="L362" s="4" t="str">
        <f t="shared" si="1"/>
        <v>Apr-2025</v>
      </c>
    </row>
    <row r="363" ht="15.75" customHeight="1">
      <c r="A363" s="4" t="s">
        <v>605</v>
      </c>
      <c r="B363" s="5">
        <v>45773.0</v>
      </c>
      <c r="C363" s="4" t="s">
        <v>160</v>
      </c>
      <c r="D363" s="4" t="s">
        <v>42</v>
      </c>
      <c r="E363" s="4" t="s">
        <v>15</v>
      </c>
      <c r="F363" s="4" t="s">
        <v>382</v>
      </c>
      <c r="G363" s="4">
        <v>3.0</v>
      </c>
      <c r="H363" s="6">
        <v>4667.08</v>
      </c>
      <c r="I363" s="6">
        <v>14001.24</v>
      </c>
      <c r="J363" s="6">
        <v>11445.02</v>
      </c>
      <c r="K363" s="6">
        <v>2556.22</v>
      </c>
      <c r="L363" s="4" t="str">
        <f t="shared" si="1"/>
        <v>Apr-2025</v>
      </c>
    </row>
    <row r="364" ht="15.75" customHeight="1">
      <c r="A364" s="4" t="s">
        <v>606</v>
      </c>
      <c r="B364" s="5">
        <v>45773.0</v>
      </c>
      <c r="C364" s="4" t="s">
        <v>13</v>
      </c>
      <c r="D364" s="4" t="s">
        <v>14</v>
      </c>
      <c r="E364" s="4" t="s">
        <v>25</v>
      </c>
      <c r="F364" s="4" t="s">
        <v>607</v>
      </c>
      <c r="G364" s="4">
        <v>4.0</v>
      </c>
      <c r="H364" s="6">
        <v>400.8</v>
      </c>
      <c r="I364" s="6">
        <v>1603.2</v>
      </c>
      <c r="J364" s="6">
        <v>1163.09</v>
      </c>
      <c r="K364" s="6">
        <v>440.11</v>
      </c>
      <c r="L364" s="4" t="str">
        <f t="shared" si="1"/>
        <v>Apr-2025</v>
      </c>
    </row>
    <row r="365" ht="15.75" customHeight="1">
      <c r="A365" s="4" t="s">
        <v>608</v>
      </c>
      <c r="B365" s="5">
        <v>45773.0</v>
      </c>
      <c r="C365" s="4" t="s">
        <v>109</v>
      </c>
      <c r="D365" s="4" t="s">
        <v>42</v>
      </c>
      <c r="E365" s="4" t="s">
        <v>25</v>
      </c>
      <c r="F365" s="4" t="s">
        <v>318</v>
      </c>
      <c r="G365" s="4">
        <v>1.0</v>
      </c>
      <c r="H365" s="6">
        <v>897.08</v>
      </c>
      <c r="I365" s="6">
        <v>897.08</v>
      </c>
      <c r="J365" s="6">
        <v>675.05</v>
      </c>
      <c r="K365" s="6">
        <v>222.03</v>
      </c>
      <c r="L365" s="4" t="str">
        <f t="shared" si="1"/>
        <v>Apr-2025</v>
      </c>
    </row>
    <row r="366" ht="15.75" customHeight="1">
      <c r="A366" s="4" t="s">
        <v>609</v>
      </c>
      <c r="B366" s="5">
        <v>45773.0</v>
      </c>
      <c r="C366" s="4" t="s">
        <v>32</v>
      </c>
      <c r="D366" s="4" t="s">
        <v>19</v>
      </c>
      <c r="E366" s="4" t="s">
        <v>25</v>
      </c>
      <c r="F366" s="4" t="s">
        <v>543</v>
      </c>
      <c r="G366" s="4">
        <v>4.0</v>
      </c>
      <c r="H366" s="6">
        <v>39914.41</v>
      </c>
      <c r="I366" s="6">
        <v>159657.64</v>
      </c>
      <c r="J366" s="6">
        <v>132818.02</v>
      </c>
      <c r="K366" s="6">
        <v>26839.62</v>
      </c>
      <c r="L366" s="4" t="str">
        <f t="shared" si="1"/>
        <v>Apr-2025</v>
      </c>
    </row>
    <row r="367" ht="15.75" customHeight="1">
      <c r="A367" s="4" t="s">
        <v>610</v>
      </c>
      <c r="B367" s="5">
        <v>45774.0</v>
      </c>
      <c r="C367" s="4" t="s">
        <v>61</v>
      </c>
      <c r="D367" s="4" t="s">
        <v>19</v>
      </c>
      <c r="E367" s="4" t="s">
        <v>15</v>
      </c>
      <c r="F367" s="4" t="s">
        <v>611</v>
      </c>
      <c r="G367" s="4">
        <v>3.0</v>
      </c>
      <c r="H367" s="6">
        <v>42105.81</v>
      </c>
      <c r="I367" s="6">
        <v>126317.43</v>
      </c>
      <c r="J367" s="6">
        <v>106423.56</v>
      </c>
      <c r="K367" s="6">
        <v>19893.87</v>
      </c>
      <c r="L367" s="4" t="str">
        <f t="shared" si="1"/>
        <v>Apr-2025</v>
      </c>
    </row>
    <row r="368" ht="15.75" customHeight="1">
      <c r="A368" s="4" t="s">
        <v>612</v>
      </c>
      <c r="B368" s="5">
        <v>45774.0</v>
      </c>
      <c r="C368" s="4" t="s">
        <v>61</v>
      </c>
      <c r="D368" s="4" t="s">
        <v>19</v>
      </c>
      <c r="E368" s="4" t="s">
        <v>25</v>
      </c>
      <c r="F368" s="4" t="s">
        <v>450</v>
      </c>
      <c r="G368" s="4">
        <v>4.0</v>
      </c>
      <c r="H368" s="6">
        <v>70422.22</v>
      </c>
      <c r="I368" s="6">
        <v>281688.88</v>
      </c>
      <c r="J368" s="6">
        <v>229704.74</v>
      </c>
      <c r="K368" s="6">
        <v>51984.14</v>
      </c>
      <c r="L368" s="4" t="str">
        <f t="shared" si="1"/>
        <v>Apr-2025</v>
      </c>
    </row>
    <row r="369" ht="15.75" customHeight="1">
      <c r="A369" s="4" t="s">
        <v>613</v>
      </c>
      <c r="B369" s="5">
        <v>45774.0</v>
      </c>
      <c r="C369" s="4" t="s">
        <v>92</v>
      </c>
      <c r="D369" s="4" t="s">
        <v>14</v>
      </c>
      <c r="E369" s="4" t="s">
        <v>25</v>
      </c>
      <c r="F369" s="4" t="s">
        <v>373</v>
      </c>
      <c r="G369" s="4">
        <v>6.0</v>
      </c>
      <c r="H369" s="6">
        <v>552.43</v>
      </c>
      <c r="I369" s="6">
        <v>3314.58</v>
      </c>
      <c r="J369" s="6">
        <v>2263.45</v>
      </c>
      <c r="K369" s="6">
        <v>1051.13</v>
      </c>
      <c r="L369" s="4" t="str">
        <f t="shared" si="1"/>
        <v>Apr-2025</v>
      </c>
    </row>
    <row r="370" ht="15.75" customHeight="1">
      <c r="A370" s="4" t="s">
        <v>614</v>
      </c>
      <c r="B370" s="5">
        <v>45775.0</v>
      </c>
      <c r="C370" s="4" t="s">
        <v>155</v>
      </c>
      <c r="D370" s="4" t="s">
        <v>24</v>
      </c>
      <c r="E370" s="4" t="s">
        <v>25</v>
      </c>
      <c r="F370" s="4" t="s">
        <v>615</v>
      </c>
      <c r="G370" s="4">
        <v>5.0</v>
      </c>
      <c r="H370" s="6">
        <v>15270.59</v>
      </c>
      <c r="I370" s="6">
        <v>76352.95</v>
      </c>
      <c r="J370" s="6">
        <v>64511.84</v>
      </c>
      <c r="K370" s="6">
        <v>11841.11</v>
      </c>
      <c r="L370" s="4" t="str">
        <f t="shared" si="1"/>
        <v>Apr-2025</v>
      </c>
    </row>
    <row r="371" ht="15.75" customHeight="1">
      <c r="A371" s="4" t="s">
        <v>616</v>
      </c>
      <c r="B371" s="5">
        <v>45775.0</v>
      </c>
      <c r="C371" s="4" t="s">
        <v>72</v>
      </c>
      <c r="D371" s="4" t="s">
        <v>24</v>
      </c>
      <c r="E371" s="4" t="s">
        <v>20</v>
      </c>
      <c r="F371" s="4" t="s">
        <v>617</v>
      </c>
      <c r="G371" s="4">
        <v>4.0</v>
      </c>
      <c r="H371" s="6">
        <v>6767.28</v>
      </c>
      <c r="I371" s="6">
        <v>27069.12</v>
      </c>
      <c r="J371" s="6">
        <v>20342.25</v>
      </c>
      <c r="K371" s="6">
        <v>6726.87</v>
      </c>
      <c r="L371" s="4" t="str">
        <f t="shared" si="1"/>
        <v>Apr-2025</v>
      </c>
    </row>
    <row r="372" ht="15.75" customHeight="1">
      <c r="A372" s="4" t="s">
        <v>618</v>
      </c>
      <c r="B372" s="5">
        <v>45775.0</v>
      </c>
      <c r="C372" s="4" t="s">
        <v>75</v>
      </c>
      <c r="D372" s="4" t="s">
        <v>24</v>
      </c>
      <c r="E372" s="4" t="s">
        <v>15</v>
      </c>
      <c r="F372" s="4" t="s">
        <v>145</v>
      </c>
      <c r="G372" s="4">
        <v>1.0</v>
      </c>
      <c r="H372" s="6">
        <v>9796.56</v>
      </c>
      <c r="I372" s="6">
        <v>9796.56</v>
      </c>
      <c r="J372" s="6">
        <v>8361.36</v>
      </c>
      <c r="K372" s="6">
        <v>1435.2</v>
      </c>
      <c r="L372" s="4" t="str">
        <f t="shared" si="1"/>
        <v>Apr-2025</v>
      </c>
    </row>
    <row r="373" ht="15.75" customHeight="1">
      <c r="A373" s="4" t="s">
        <v>619</v>
      </c>
      <c r="B373" s="5">
        <v>45776.0</v>
      </c>
      <c r="C373" s="4" t="s">
        <v>23</v>
      </c>
      <c r="D373" s="4" t="s">
        <v>24</v>
      </c>
      <c r="E373" s="4" t="s">
        <v>25</v>
      </c>
      <c r="F373" s="4" t="s">
        <v>217</v>
      </c>
      <c r="G373" s="4">
        <v>1.0</v>
      </c>
      <c r="H373" s="6">
        <v>15449.07</v>
      </c>
      <c r="I373" s="6">
        <v>15449.07</v>
      </c>
      <c r="J373" s="6">
        <v>13384.82</v>
      </c>
      <c r="K373" s="6">
        <v>2064.25</v>
      </c>
      <c r="L373" s="4" t="str">
        <f t="shared" si="1"/>
        <v>Apr-2025</v>
      </c>
    </row>
    <row r="374" ht="15.75" customHeight="1">
      <c r="A374" s="4" t="s">
        <v>620</v>
      </c>
      <c r="B374" s="5">
        <v>45777.0</v>
      </c>
      <c r="C374" s="4" t="s">
        <v>109</v>
      </c>
      <c r="D374" s="4" t="s">
        <v>42</v>
      </c>
      <c r="E374" s="4" t="s">
        <v>29</v>
      </c>
      <c r="F374" s="4" t="s">
        <v>607</v>
      </c>
      <c r="G374" s="4">
        <v>7.0</v>
      </c>
      <c r="H374" s="6">
        <v>3622.54</v>
      </c>
      <c r="I374" s="6">
        <v>25357.78</v>
      </c>
      <c r="J374" s="6">
        <v>22187.4</v>
      </c>
      <c r="K374" s="6">
        <v>3170.38</v>
      </c>
      <c r="L374" s="4" t="str">
        <f t="shared" si="1"/>
        <v>Apr-2025</v>
      </c>
    </row>
    <row r="375" ht="15.75" customHeight="1">
      <c r="A375" s="4" t="s">
        <v>621</v>
      </c>
      <c r="B375" s="5">
        <v>45777.0</v>
      </c>
      <c r="C375" s="4" t="s">
        <v>75</v>
      </c>
      <c r="D375" s="4" t="s">
        <v>24</v>
      </c>
      <c r="E375" s="4" t="s">
        <v>29</v>
      </c>
      <c r="F375" s="4" t="s">
        <v>97</v>
      </c>
      <c r="G375" s="4">
        <v>4.0</v>
      </c>
      <c r="H375" s="6">
        <v>15650.94</v>
      </c>
      <c r="I375" s="6">
        <v>62603.76</v>
      </c>
      <c r="J375" s="6">
        <v>49683.29</v>
      </c>
      <c r="K375" s="6">
        <v>12920.47</v>
      </c>
      <c r="L375" s="4" t="str">
        <f t="shared" si="1"/>
        <v>Apr-2025</v>
      </c>
    </row>
    <row r="376" ht="15.75" customHeight="1">
      <c r="A376" s="4" t="s">
        <v>622</v>
      </c>
      <c r="B376" s="5">
        <v>45777.0</v>
      </c>
      <c r="C376" s="4" t="s">
        <v>50</v>
      </c>
      <c r="D376" s="4" t="s">
        <v>42</v>
      </c>
      <c r="E376" s="4" t="s">
        <v>29</v>
      </c>
      <c r="F376" s="4" t="s">
        <v>375</v>
      </c>
      <c r="G376" s="4">
        <v>6.0</v>
      </c>
      <c r="H376" s="6">
        <v>2259.13</v>
      </c>
      <c r="I376" s="6">
        <v>13554.78</v>
      </c>
      <c r="J376" s="6">
        <v>11311.97</v>
      </c>
      <c r="K376" s="6">
        <v>2242.81</v>
      </c>
      <c r="L376" s="4" t="str">
        <f t="shared" si="1"/>
        <v>Apr-2025</v>
      </c>
    </row>
    <row r="377" ht="15.75" customHeight="1">
      <c r="A377" s="4" t="s">
        <v>623</v>
      </c>
      <c r="B377" s="5">
        <v>45777.0</v>
      </c>
      <c r="C377" s="4" t="s">
        <v>38</v>
      </c>
      <c r="D377" s="4" t="s">
        <v>19</v>
      </c>
      <c r="E377" s="4" t="s">
        <v>29</v>
      </c>
      <c r="F377" s="4" t="s">
        <v>95</v>
      </c>
      <c r="G377" s="4">
        <v>7.0</v>
      </c>
      <c r="H377" s="6">
        <v>21976.98</v>
      </c>
      <c r="I377" s="6">
        <v>153838.86</v>
      </c>
      <c r="J377" s="6">
        <v>130717.34</v>
      </c>
      <c r="K377" s="6">
        <v>23121.52</v>
      </c>
      <c r="L377" s="4" t="str">
        <f t="shared" si="1"/>
        <v>Apr-2025</v>
      </c>
    </row>
    <row r="378" ht="15.75" customHeight="1">
      <c r="A378" s="4" t="s">
        <v>624</v>
      </c>
      <c r="B378" s="5">
        <v>45778.0</v>
      </c>
      <c r="C378" s="4" t="s">
        <v>140</v>
      </c>
      <c r="D378" s="4" t="s">
        <v>14</v>
      </c>
      <c r="E378" s="4" t="s">
        <v>15</v>
      </c>
      <c r="F378" s="4" t="s">
        <v>62</v>
      </c>
      <c r="G378" s="4">
        <v>7.0</v>
      </c>
      <c r="H378" s="6">
        <v>1071.31</v>
      </c>
      <c r="I378" s="6">
        <v>7499.17</v>
      </c>
      <c r="J378" s="6">
        <v>6320.98</v>
      </c>
      <c r="K378" s="6">
        <v>1178.19</v>
      </c>
      <c r="L378" s="4" t="str">
        <f t="shared" si="1"/>
        <v>May-2025</v>
      </c>
    </row>
    <row r="379" ht="15.75" customHeight="1">
      <c r="A379" s="4" t="s">
        <v>625</v>
      </c>
      <c r="B379" s="5">
        <v>45778.0</v>
      </c>
      <c r="C379" s="4" t="s">
        <v>23</v>
      </c>
      <c r="D379" s="4" t="s">
        <v>24</v>
      </c>
      <c r="E379" s="4" t="s">
        <v>20</v>
      </c>
      <c r="F379" s="4" t="s">
        <v>626</v>
      </c>
      <c r="G379" s="4">
        <v>5.0</v>
      </c>
      <c r="H379" s="6">
        <v>4731.67</v>
      </c>
      <c r="I379" s="6">
        <v>23658.35</v>
      </c>
      <c r="J379" s="6">
        <v>17709.56</v>
      </c>
      <c r="K379" s="6">
        <v>5948.79</v>
      </c>
      <c r="L379" s="4" t="str">
        <f t="shared" si="1"/>
        <v>May-2025</v>
      </c>
    </row>
    <row r="380" ht="15.75" customHeight="1">
      <c r="A380" s="4" t="s">
        <v>627</v>
      </c>
      <c r="B380" s="5">
        <v>45779.0</v>
      </c>
      <c r="C380" s="4" t="s">
        <v>72</v>
      </c>
      <c r="D380" s="4" t="s">
        <v>24</v>
      </c>
      <c r="E380" s="4" t="s">
        <v>20</v>
      </c>
      <c r="F380" s="4" t="s">
        <v>628</v>
      </c>
      <c r="G380" s="4">
        <v>2.0</v>
      </c>
      <c r="H380" s="6">
        <v>7184.1</v>
      </c>
      <c r="I380" s="6">
        <v>14368.2</v>
      </c>
      <c r="J380" s="6">
        <v>11623.01</v>
      </c>
      <c r="K380" s="6">
        <v>2745.19</v>
      </c>
      <c r="L380" s="4" t="str">
        <f t="shared" si="1"/>
        <v>May-2025</v>
      </c>
    </row>
    <row r="381" ht="15.75" customHeight="1">
      <c r="A381" s="4" t="s">
        <v>629</v>
      </c>
      <c r="B381" s="5">
        <v>45779.0</v>
      </c>
      <c r="C381" s="4" t="s">
        <v>47</v>
      </c>
      <c r="D381" s="4" t="s">
        <v>14</v>
      </c>
      <c r="E381" s="4" t="s">
        <v>29</v>
      </c>
      <c r="F381" s="4" t="s">
        <v>279</v>
      </c>
      <c r="G381" s="4">
        <v>4.0</v>
      </c>
      <c r="H381" s="6">
        <v>134.44</v>
      </c>
      <c r="I381" s="6">
        <v>537.76</v>
      </c>
      <c r="J381" s="6">
        <v>442.75</v>
      </c>
      <c r="K381" s="6">
        <v>95.01</v>
      </c>
      <c r="L381" s="4" t="str">
        <f t="shared" si="1"/>
        <v>May-2025</v>
      </c>
    </row>
    <row r="382" ht="15.75" customHeight="1">
      <c r="A382" s="4" t="s">
        <v>630</v>
      </c>
      <c r="B382" s="5">
        <v>45779.0</v>
      </c>
      <c r="C382" s="4" t="s">
        <v>38</v>
      </c>
      <c r="D382" s="4" t="s">
        <v>19</v>
      </c>
      <c r="E382" s="4" t="s">
        <v>25</v>
      </c>
      <c r="F382" s="4" t="s">
        <v>233</v>
      </c>
      <c r="G382" s="4">
        <v>5.0</v>
      </c>
      <c r="H382" s="6">
        <v>26919.63</v>
      </c>
      <c r="I382" s="6">
        <v>134598.15</v>
      </c>
      <c r="J382" s="6">
        <v>117195.0</v>
      </c>
      <c r="K382" s="6">
        <v>17403.15</v>
      </c>
      <c r="L382" s="4" t="str">
        <f t="shared" si="1"/>
        <v>May-2025</v>
      </c>
    </row>
    <row r="383" ht="15.75" customHeight="1">
      <c r="A383" s="4" t="s">
        <v>631</v>
      </c>
      <c r="B383" s="5">
        <v>45779.0</v>
      </c>
      <c r="C383" s="4" t="s">
        <v>47</v>
      </c>
      <c r="D383" s="4" t="s">
        <v>14</v>
      </c>
      <c r="E383" s="4" t="s">
        <v>29</v>
      </c>
      <c r="F383" s="4" t="s">
        <v>107</v>
      </c>
      <c r="G383" s="4">
        <v>2.0</v>
      </c>
      <c r="H383" s="6">
        <v>109.72</v>
      </c>
      <c r="I383" s="6">
        <v>219.44</v>
      </c>
      <c r="J383" s="6">
        <v>181.89</v>
      </c>
      <c r="K383" s="6">
        <v>37.55</v>
      </c>
      <c r="L383" s="4" t="str">
        <f t="shared" si="1"/>
        <v>May-2025</v>
      </c>
    </row>
    <row r="384" ht="15.75" customHeight="1">
      <c r="A384" s="4" t="s">
        <v>632</v>
      </c>
      <c r="B384" s="5">
        <v>45779.0</v>
      </c>
      <c r="C384" s="4" t="s">
        <v>23</v>
      </c>
      <c r="D384" s="4" t="s">
        <v>24</v>
      </c>
      <c r="E384" s="4" t="s">
        <v>15</v>
      </c>
      <c r="F384" s="4" t="s">
        <v>633</v>
      </c>
      <c r="G384" s="4">
        <v>5.0</v>
      </c>
      <c r="H384" s="6">
        <v>11441.72</v>
      </c>
      <c r="I384" s="6">
        <v>57208.6</v>
      </c>
      <c r="J384" s="6">
        <v>43379.18</v>
      </c>
      <c r="K384" s="6">
        <v>13829.42</v>
      </c>
      <c r="L384" s="4" t="str">
        <f t="shared" si="1"/>
        <v>May-2025</v>
      </c>
    </row>
    <row r="385" ht="15.75" customHeight="1">
      <c r="A385" s="4" t="s">
        <v>634</v>
      </c>
      <c r="B385" s="5">
        <v>45780.0</v>
      </c>
      <c r="C385" s="4" t="s">
        <v>41</v>
      </c>
      <c r="D385" s="4" t="s">
        <v>42</v>
      </c>
      <c r="E385" s="4" t="s">
        <v>29</v>
      </c>
      <c r="F385" s="4" t="s">
        <v>304</v>
      </c>
      <c r="G385" s="4">
        <v>6.0</v>
      </c>
      <c r="H385" s="6">
        <v>354.13</v>
      </c>
      <c r="I385" s="6">
        <v>2124.78</v>
      </c>
      <c r="J385" s="6">
        <v>1629.9</v>
      </c>
      <c r="K385" s="6">
        <v>494.88</v>
      </c>
      <c r="L385" s="4" t="str">
        <f t="shared" si="1"/>
        <v>May-2025</v>
      </c>
    </row>
    <row r="386" ht="15.75" customHeight="1">
      <c r="A386" s="4" t="s">
        <v>635</v>
      </c>
      <c r="B386" s="5">
        <v>45780.0</v>
      </c>
      <c r="C386" s="4" t="s">
        <v>13</v>
      </c>
      <c r="D386" s="4" t="s">
        <v>14</v>
      </c>
      <c r="E386" s="4" t="s">
        <v>29</v>
      </c>
      <c r="F386" s="4" t="s">
        <v>93</v>
      </c>
      <c r="G386" s="4">
        <v>5.0</v>
      </c>
      <c r="H386" s="6">
        <v>96.87</v>
      </c>
      <c r="I386" s="6">
        <v>484.35</v>
      </c>
      <c r="J386" s="6">
        <v>365.49</v>
      </c>
      <c r="K386" s="6">
        <v>118.86</v>
      </c>
      <c r="L386" s="4" t="str">
        <f t="shared" si="1"/>
        <v>May-2025</v>
      </c>
    </row>
    <row r="387" ht="15.75" customHeight="1">
      <c r="A387" s="4" t="s">
        <v>636</v>
      </c>
      <c r="B387" s="5">
        <v>45781.0</v>
      </c>
      <c r="C387" s="4" t="s">
        <v>109</v>
      </c>
      <c r="D387" s="4" t="s">
        <v>42</v>
      </c>
      <c r="E387" s="4" t="s">
        <v>29</v>
      </c>
      <c r="F387" s="4" t="s">
        <v>295</v>
      </c>
      <c r="G387" s="4">
        <v>4.0</v>
      </c>
      <c r="H387" s="6">
        <v>4649.77</v>
      </c>
      <c r="I387" s="6">
        <v>18599.08</v>
      </c>
      <c r="J387" s="6">
        <v>16456.22</v>
      </c>
      <c r="K387" s="6">
        <v>2142.86</v>
      </c>
      <c r="L387" s="4" t="str">
        <f t="shared" si="1"/>
        <v>May-2025</v>
      </c>
    </row>
    <row r="388" ht="15.75" customHeight="1">
      <c r="A388" s="4" t="s">
        <v>637</v>
      </c>
      <c r="B388" s="5">
        <v>45781.0</v>
      </c>
      <c r="C388" s="4" t="s">
        <v>155</v>
      </c>
      <c r="D388" s="4" t="s">
        <v>24</v>
      </c>
      <c r="E388" s="4" t="s">
        <v>25</v>
      </c>
      <c r="F388" s="4" t="s">
        <v>638</v>
      </c>
      <c r="G388" s="4">
        <v>2.0</v>
      </c>
      <c r="H388" s="6">
        <v>14767.45</v>
      </c>
      <c r="I388" s="6">
        <v>29534.9</v>
      </c>
      <c r="J388" s="6">
        <v>22331.13</v>
      </c>
      <c r="K388" s="6">
        <v>7203.77</v>
      </c>
      <c r="L388" s="4" t="str">
        <f t="shared" si="1"/>
        <v>May-2025</v>
      </c>
    </row>
    <row r="389" ht="15.75" customHeight="1">
      <c r="A389" s="4" t="s">
        <v>639</v>
      </c>
      <c r="B389" s="5">
        <v>45782.0</v>
      </c>
      <c r="C389" s="4" t="s">
        <v>75</v>
      </c>
      <c r="D389" s="4" t="s">
        <v>24</v>
      </c>
      <c r="E389" s="4" t="s">
        <v>15</v>
      </c>
      <c r="F389" s="4" t="s">
        <v>543</v>
      </c>
      <c r="G389" s="4">
        <v>4.0</v>
      </c>
      <c r="H389" s="6">
        <v>9459.86</v>
      </c>
      <c r="I389" s="6">
        <v>37839.44</v>
      </c>
      <c r="J389" s="6">
        <v>31626.27</v>
      </c>
      <c r="K389" s="6">
        <v>6213.17</v>
      </c>
      <c r="L389" s="4" t="str">
        <f t="shared" si="1"/>
        <v>May-2025</v>
      </c>
    </row>
    <row r="390" ht="15.75" customHeight="1">
      <c r="A390" s="4" t="s">
        <v>640</v>
      </c>
      <c r="B390" s="5">
        <v>45783.0</v>
      </c>
      <c r="C390" s="4" t="s">
        <v>155</v>
      </c>
      <c r="D390" s="4" t="s">
        <v>24</v>
      </c>
      <c r="E390" s="4" t="s">
        <v>20</v>
      </c>
      <c r="F390" s="4" t="s">
        <v>641</v>
      </c>
      <c r="G390" s="4">
        <v>5.0</v>
      </c>
      <c r="H390" s="6">
        <v>15722.0</v>
      </c>
      <c r="I390" s="6">
        <v>78610.0</v>
      </c>
      <c r="J390" s="6">
        <v>58028.31</v>
      </c>
      <c r="K390" s="6">
        <v>20581.69</v>
      </c>
      <c r="L390" s="4" t="str">
        <f t="shared" si="1"/>
        <v>May-2025</v>
      </c>
    </row>
    <row r="391" ht="15.75" customHeight="1">
      <c r="A391" s="4" t="s">
        <v>642</v>
      </c>
      <c r="B391" s="5">
        <v>45783.0</v>
      </c>
      <c r="C391" s="4" t="s">
        <v>18</v>
      </c>
      <c r="D391" s="4" t="s">
        <v>19</v>
      </c>
      <c r="E391" s="4" t="s">
        <v>20</v>
      </c>
      <c r="F391" s="4" t="s">
        <v>643</v>
      </c>
      <c r="G391" s="4">
        <v>1.0</v>
      </c>
      <c r="H391" s="6">
        <v>26245.17</v>
      </c>
      <c r="I391" s="6">
        <v>26245.17</v>
      </c>
      <c r="J391" s="6">
        <v>22652.83</v>
      </c>
      <c r="K391" s="6">
        <v>3592.34</v>
      </c>
      <c r="L391" s="4" t="str">
        <f t="shared" si="1"/>
        <v>May-2025</v>
      </c>
    </row>
    <row r="392" ht="15.75" customHeight="1">
      <c r="A392" s="4" t="s">
        <v>644</v>
      </c>
      <c r="B392" s="5">
        <v>45784.0</v>
      </c>
      <c r="C392" s="4" t="s">
        <v>140</v>
      </c>
      <c r="D392" s="4" t="s">
        <v>14</v>
      </c>
      <c r="E392" s="4" t="s">
        <v>15</v>
      </c>
      <c r="F392" s="4" t="s">
        <v>418</v>
      </c>
      <c r="G392" s="4">
        <v>1.0</v>
      </c>
      <c r="H392" s="6">
        <v>959.63</v>
      </c>
      <c r="I392" s="6">
        <v>959.63</v>
      </c>
      <c r="J392" s="6">
        <v>740.92</v>
      </c>
      <c r="K392" s="6">
        <v>218.71</v>
      </c>
      <c r="L392" s="4" t="str">
        <f t="shared" si="1"/>
        <v>May-2025</v>
      </c>
    </row>
    <row r="393" ht="15.75" customHeight="1">
      <c r="A393" s="4" t="s">
        <v>645</v>
      </c>
      <c r="B393" s="5">
        <v>45784.0</v>
      </c>
      <c r="C393" s="4" t="s">
        <v>102</v>
      </c>
      <c r="D393" s="4" t="s">
        <v>24</v>
      </c>
      <c r="E393" s="4" t="s">
        <v>25</v>
      </c>
      <c r="F393" s="4" t="s">
        <v>57</v>
      </c>
      <c r="G393" s="4">
        <v>2.0</v>
      </c>
      <c r="H393" s="6">
        <v>15218.3</v>
      </c>
      <c r="I393" s="6">
        <v>30436.6</v>
      </c>
      <c r="J393" s="6">
        <v>22205.67</v>
      </c>
      <c r="K393" s="6">
        <v>8230.93</v>
      </c>
      <c r="L393" s="4" t="str">
        <f t="shared" si="1"/>
        <v>May-2025</v>
      </c>
    </row>
    <row r="394" ht="15.75" customHeight="1">
      <c r="A394" s="4" t="s">
        <v>646</v>
      </c>
      <c r="B394" s="5">
        <v>45785.0</v>
      </c>
      <c r="C394" s="4" t="s">
        <v>35</v>
      </c>
      <c r="D394" s="4" t="s">
        <v>14</v>
      </c>
      <c r="E394" s="4" t="s">
        <v>25</v>
      </c>
      <c r="F394" s="4" t="s">
        <v>399</v>
      </c>
      <c r="G394" s="4">
        <v>7.0</v>
      </c>
      <c r="H394" s="6">
        <v>427.07</v>
      </c>
      <c r="I394" s="6">
        <v>2989.49</v>
      </c>
      <c r="J394" s="6">
        <v>2230.87</v>
      </c>
      <c r="K394" s="6">
        <v>758.62</v>
      </c>
      <c r="L394" s="4" t="str">
        <f t="shared" si="1"/>
        <v>May-2025</v>
      </c>
    </row>
    <row r="395" ht="15.75" customHeight="1">
      <c r="A395" s="4" t="s">
        <v>647</v>
      </c>
      <c r="B395" s="5">
        <v>45785.0</v>
      </c>
      <c r="C395" s="4" t="s">
        <v>32</v>
      </c>
      <c r="D395" s="4" t="s">
        <v>19</v>
      </c>
      <c r="E395" s="4" t="s">
        <v>25</v>
      </c>
      <c r="F395" s="4" t="s">
        <v>141</v>
      </c>
      <c r="G395" s="4">
        <v>5.0</v>
      </c>
      <c r="H395" s="6">
        <v>10160.56</v>
      </c>
      <c r="I395" s="6">
        <v>50802.8</v>
      </c>
      <c r="J395" s="6">
        <v>45987.0</v>
      </c>
      <c r="K395" s="6">
        <v>4815.8</v>
      </c>
      <c r="L395" s="4" t="str">
        <f t="shared" si="1"/>
        <v>May-2025</v>
      </c>
    </row>
    <row r="396" ht="15.75" customHeight="1">
      <c r="A396" s="4" t="s">
        <v>648</v>
      </c>
      <c r="B396" s="5">
        <v>45785.0</v>
      </c>
      <c r="C396" s="4" t="s">
        <v>66</v>
      </c>
      <c r="D396" s="4" t="s">
        <v>42</v>
      </c>
      <c r="E396" s="4" t="s">
        <v>29</v>
      </c>
      <c r="F396" s="4" t="s">
        <v>461</v>
      </c>
      <c r="G396" s="4">
        <v>6.0</v>
      </c>
      <c r="H396" s="6">
        <v>887.75</v>
      </c>
      <c r="I396" s="6">
        <v>5326.5</v>
      </c>
      <c r="J396" s="6">
        <v>4236.3</v>
      </c>
      <c r="K396" s="6">
        <v>1090.2</v>
      </c>
      <c r="L396" s="4" t="str">
        <f t="shared" si="1"/>
        <v>May-2025</v>
      </c>
    </row>
    <row r="397" ht="15.75" customHeight="1">
      <c r="A397" s="4" t="s">
        <v>649</v>
      </c>
      <c r="B397" s="5">
        <v>45785.0</v>
      </c>
      <c r="C397" s="4" t="s">
        <v>155</v>
      </c>
      <c r="D397" s="4" t="s">
        <v>24</v>
      </c>
      <c r="E397" s="4" t="s">
        <v>15</v>
      </c>
      <c r="F397" s="4" t="s">
        <v>73</v>
      </c>
      <c r="G397" s="4">
        <v>4.0</v>
      </c>
      <c r="H397" s="6">
        <v>9502.48</v>
      </c>
      <c r="I397" s="6">
        <v>38009.92</v>
      </c>
      <c r="J397" s="6">
        <v>31925.52</v>
      </c>
      <c r="K397" s="6">
        <v>6084.4</v>
      </c>
      <c r="L397" s="4" t="str">
        <f t="shared" si="1"/>
        <v>May-2025</v>
      </c>
    </row>
    <row r="398" ht="15.75" customHeight="1">
      <c r="A398" s="4" t="s">
        <v>650</v>
      </c>
      <c r="B398" s="5">
        <v>45785.0</v>
      </c>
      <c r="C398" s="4" t="s">
        <v>50</v>
      </c>
      <c r="D398" s="4" t="s">
        <v>42</v>
      </c>
      <c r="E398" s="4" t="s">
        <v>29</v>
      </c>
      <c r="F398" s="4" t="s">
        <v>165</v>
      </c>
      <c r="G398" s="4">
        <v>1.0</v>
      </c>
      <c r="H398" s="6">
        <v>4260.42</v>
      </c>
      <c r="I398" s="6">
        <v>4260.42</v>
      </c>
      <c r="J398" s="6">
        <v>3784.76</v>
      </c>
      <c r="K398" s="6">
        <v>475.66</v>
      </c>
      <c r="L398" s="4" t="str">
        <f t="shared" si="1"/>
        <v>May-2025</v>
      </c>
    </row>
    <row r="399" ht="15.75" customHeight="1">
      <c r="A399" s="4" t="s">
        <v>651</v>
      </c>
      <c r="B399" s="5">
        <v>45785.0</v>
      </c>
      <c r="C399" s="4" t="s">
        <v>13</v>
      </c>
      <c r="D399" s="4" t="s">
        <v>14</v>
      </c>
      <c r="E399" s="4" t="s">
        <v>25</v>
      </c>
      <c r="F399" s="4" t="s">
        <v>256</v>
      </c>
      <c r="G399" s="4">
        <v>4.0</v>
      </c>
      <c r="H399" s="6">
        <v>1373.49</v>
      </c>
      <c r="I399" s="6">
        <v>5493.96</v>
      </c>
      <c r="J399" s="6">
        <v>4515.28</v>
      </c>
      <c r="K399" s="6">
        <v>978.68</v>
      </c>
      <c r="L399" s="4" t="str">
        <f t="shared" si="1"/>
        <v>May-2025</v>
      </c>
    </row>
    <row r="400" ht="15.75" customHeight="1">
      <c r="A400" s="4" t="s">
        <v>652</v>
      </c>
      <c r="B400" s="5">
        <v>45785.0</v>
      </c>
      <c r="C400" s="4" t="s">
        <v>38</v>
      </c>
      <c r="D400" s="4" t="s">
        <v>19</v>
      </c>
      <c r="E400" s="4" t="s">
        <v>29</v>
      </c>
      <c r="F400" s="4" t="s">
        <v>304</v>
      </c>
      <c r="G400" s="4">
        <v>2.0</v>
      </c>
      <c r="H400" s="6">
        <v>38261.71</v>
      </c>
      <c r="I400" s="6">
        <v>76523.42</v>
      </c>
      <c r="J400" s="6">
        <v>62255.42</v>
      </c>
      <c r="K400" s="6">
        <v>14268.0</v>
      </c>
      <c r="L400" s="4" t="str">
        <f t="shared" si="1"/>
        <v>May-2025</v>
      </c>
    </row>
    <row r="401" ht="15.75" customHeight="1">
      <c r="A401" s="4" t="s">
        <v>653</v>
      </c>
      <c r="B401" s="5">
        <v>45787.0</v>
      </c>
      <c r="C401" s="4" t="s">
        <v>61</v>
      </c>
      <c r="D401" s="4" t="s">
        <v>19</v>
      </c>
      <c r="E401" s="4" t="s">
        <v>20</v>
      </c>
      <c r="F401" s="4" t="s">
        <v>181</v>
      </c>
      <c r="G401" s="4">
        <v>1.0</v>
      </c>
      <c r="H401" s="6">
        <v>49619.85</v>
      </c>
      <c r="I401" s="6">
        <v>49619.85</v>
      </c>
      <c r="J401" s="6">
        <v>41318.59</v>
      </c>
      <c r="K401" s="6">
        <v>8301.26</v>
      </c>
      <c r="L401" s="4" t="str">
        <f t="shared" si="1"/>
        <v>May-2025</v>
      </c>
    </row>
    <row r="402" ht="15.75" customHeight="1">
      <c r="A402" s="4" t="s">
        <v>654</v>
      </c>
      <c r="B402" s="5">
        <v>45787.0</v>
      </c>
      <c r="C402" s="4" t="s">
        <v>35</v>
      </c>
      <c r="D402" s="4" t="s">
        <v>14</v>
      </c>
      <c r="E402" s="4" t="s">
        <v>20</v>
      </c>
      <c r="F402" s="4" t="s">
        <v>422</v>
      </c>
      <c r="G402" s="4">
        <v>2.0</v>
      </c>
      <c r="H402" s="6">
        <v>230.43</v>
      </c>
      <c r="I402" s="6">
        <v>460.86</v>
      </c>
      <c r="J402" s="6">
        <v>324.91</v>
      </c>
      <c r="K402" s="6">
        <v>135.95</v>
      </c>
      <c r="L402" s="4" t="str">
        <f t="shared" si="1"/>
        <v>May-2025</v>
      </c>
    </row>
    <row r="403" ht="15.75" customHeight="1">
      <c r="A403" s="4" t="s">
        <v>655</v>
      </c>
      <c r="B403" s="5">
        <v>45787.0</v>
      </c>
      <c r="C403" s="4" t="s">
        <v>50</v>
      </c>
      <c r="D403" s="4" t="s">
        <v>42</v>
      </c>
      <c r="E403" s="4" t="s">
        <v>20</v>
      </c>
      <c r="F403" s="4" t="s">
        <v>656</v>
      </c>
      <c r="G403" s="4">
        <v>3.0</v>
      </c>
      <c r="H403" s="6">
        <v>4705.83</v>
      </c>
      <c r="I403" s="6">
        <v>14117.49</v>
      </c>
      <c r="J403" s="6">
        <v>11819.96</v>
      </c>
      <c r="K403" s="6">
        <v>2297.53</v>
      </c>
      <c r="L403" s="4" t="str">
        <f t="shared" si="1"/>
        <v>May-2025</v>
      </c>
    </row>
    <row r="404" ht="15.75" customHeight="1">
      <c r="A404" s="4" t="s">
        <v>657</v>
      </c>
      <c r="B404" s="5">
        <v>45788.0</v>
      </c>
      <c r="C404" s="4" t="s">
        <v>140</v>
      </c>
      <c r="D404" s="4" t="s">
        <v>14</v>
      </c>
      <c r="E404" s="4" t="s">
        <v>20</v>
      </c>
      <c r="F404" s="4" t="s">
        <v>84</v>
      </c>
      <c r="G404" s="4">
        <v>1.0</v>
      </c>
      <c r="H404" s="6">
        <v>455.53</v>
      </c>
      <c r="I404" s="6">
        <v>455.53</v>
      </c>
      <c r="J404" s="6">
        <v>320.16</v>
      </c>
      <c r="K404" s="6">
        <v>135.37</v>
      </c>
      <c r="L404" s="4" t="str">
        <f t="shared" si="1"/>
        <v>May-2025</v>
      </c>
    </row>
    <row r="405" ht="15.75" customHeight="1">
      <c r="A405" s="4" t="s">
        <v>658</v>
      </c>
      <c r="B405" s="5">
        <v>45788.0</v>
      </c>
      <c r="C405" s="4" t="s">
        <v>180</v>
      </c>
      <c r="D405" s="4" t="s">
        <v>19</v>
      </c>
      <c r="E405" s="4" t="s">
        <v>25</v>
      </c>
      <c r="F405" s="4" t="s">
        <v>546</v>
      </c>
      <c r="G405" s="4">
        <v>4.0</v>
      </c>
      <c r="H405" s="6">
        <v>26568.8</v>
      </c>
      <c r="I405" s="6">
        <v>106275.2</v>
      </c>
      <c r="J405" s="6">
        <v>94390.72</v>
      </c>
      <c r="K405" s="6">
        <v>11884.48</v>
      </c>
      <c r="L405" s="4" t="str">
        <f t="shared" si="1"/>
        <v>May-2025</v>
      </c>
    </row>
    <row r="406" ht="15.75" customHeight="1">
      <c r="A406" s="4" t="s">
        <v>659</v>
      </c>
      <c r="B406" s="5">
        <v>45789.0</v>
      </c>
      <c r="C406" s="4" t="s">
        <v>75</v>
      </c>
      <c r="D406" s="4" t="s">
        <v>24</v>
      </c>
      <c r="E406" s="4" t="s">
        <v>15</v>
      </c>
      <c r="F406" s="4" t="s">
        <v>129</v>
      </c>
      <c r="G406" s="4">
        <v>2.0</v>
      </c>
      <c r="H406" s="6">
        <v>15569.4</v>
      </c>
      <c r="I406" s="6">
        <v>31138.8</v>
      </c>
      <c r="J406" s="6">
        <v>24999.6</v>
      </c>
      <c r="K406" s="6">
        <v>6139.2</v>
      </c>
      <c r="L406" s="4" t="str">
        <f t="shared" si="1"/>
        <v>May-2025</v>
      </c>
    </row>
    <row r="407" ht="15.75" customHeight="1">
      <c r="A407" s="4" t="s">
        <v>660</v>
      </c>
      <c r="B407" s="5">
        <v>45789.0</v>
      </c>
      <c r="C407" s="4" t="s">
        <v>66</v>
      </c>
      <c r="D407" s="4" t="s">
        <v>42</v>
      </c>
      <c r="E407" s="4" t="s">
        <v>15</v>
      </c>
      <c r="F407" s="4" t="s">
        <v>661</v>
      </c>
      <c r="G407" s="4">
        <v>5.0</v>
      </c>
      <c r="H407" s="6">
        <v>4739.43</v>
      </c>
      <c r="I407" s="6">
        <v>23697.15</v>
      </c>
      <c r="J407" s="6">
        <v>20247.79</v>
      </c>
      <c r="K407" s="6">
        <v>3449.36</v>
      </c>
      <c r="L407" s="4" t="str">
        <f t="shared" si="1"/>
        <v>May-2025</v>
      </c>
    </row>
    <row r="408" ht="15.75" customHeight="1">
      <c r="A408" s="4" t="s">
        <v>662</v>
      </c>
      <c r="B408" s="5">
        <v>45790.0</v>
      </c>
      <c r="C408" s="4" t="s">
        <v>18</v>
      </c>
      <c r="D408" s="4" t="s">
        <v>19</v>
      </c>
      <c r="E408" s="4" t="s">
        <v>29</v>
      </c>
      <c r="F408" s="4" t="s">
        <v>663</v>
      </c>
      <c r="G408" s="4">
        <v>2.0</v>
      </c>
      <c r="H408" s="6">
        <v>62592.21</v>
      </c>
      <c r="I408" s="6">
        <v>125184.42</v>
      </c>
      <c r="J408" s="6">
        <v>114083.99</v>
      </c>
      <c r="K408" s="6">
        <v>11100.43</v>
      </c>
      <c r="L408" s="4" t="str">
        <f t="shared" si="1"/>
        <v>May-2025</v>
      </c>
    </row>
    <row r="409" ht="15.75" customHeight="1">
      <c r="A409" s="4" t="s">
        <v>664</v>
      </c>
      <c r="B409" s="5">
        <v>45790.0</v>
      </c>
      <c r="C409" s="4" t="s">
        <v>41</v>
      </c>
      <c r="D409" s="4" t="s">
        <v>42</v>
      </c>
      <c r="E409" s="4" t="s">
        <v>25</v>
      </c>
      <c r="F409" s="4" t="s">
        <v>497</v>
      </c>
      <c r="G409" s="4">
        <v>4.0</v>
      </c>
      <c r="H409" s="6">
        <v>2719.68</v>
      </c>
      <c r="I409" s="6">
        <v>10878.72</v>
      </c>
      <c r="J409" s="6">
        <v>8931.26</v>
      </c>
      <c r="K409" s="6">
        <v>1947.46</v>
      </c>
      <c r="L409" s="4" t="str">
        <f t="shared" si="1"/>
        <v>May-2025</v>
      </c>
    </row>
    <row r="410" ht="15.75" customHeight="1">
      <c r="A410" s="4" t="s">
        <v>665</v>
      </c>
      <c r="B410" s="5">
        <v>45791.0</v>
      </c>
      <c r="C410" s="4" t="s">
        <v>140</v>
      </c>
      <c r="D410" s="4" t="s">
        <v>14</v>
      </c>
      <c r="E410" s="4" t="s">
        <v>29</v>
      </c>
      <c r="F410" s="4" t="s">
        <v>30</v>
      </c>
      <c r="G410" s="4">
        <v>6.0</v>
      </c>
      <c r="H410" s="6">
        <v>283.98</v>
      </c>
      <c r="I410" s="6">
        <v>1703.88</v>
      </c>
      <c r="J410" s="6">
        <v>1400.29</v>
      </c>
      <c r="K410" s="6">
        <v>303.59</v>
      </c>
      <c r="L410" s="4" t="str">
        <f t="shared" si="1"/>
        <v>May-2025</v>
      </c>
    </row>
    <row r="411" ht="15.75" customHeight="1">
      <c r="A411" s="4" t="s">
        <v>666</v>
      </c>
      <c r="B411" s="5">
        <v>45791.0</v>
      </c>
      <c r="C411" s="4" t="s">
        <v>140</v>
      </c>
      <c r="D411" s="4" t="s">
        <v>14</v>
      </c>
      <c r="E411" s="4" t="s">
        <v>20</v>
      </c>
      <c r="F411" s="4" t="s">
        <v>114</v>
      </c>
      <c r="G411" s="4">
        <v>2.0</v>
      </c>
      <c r="H411" s="6">
        <v>82.63</v>
      </c>
      <c r="I411" s="6">
        <v>165.26</v>
      </c>
      <c r="J411" s="6">
        <v>121.37</v>
      </c>
      <c r="K411" s="6">
        <v>43.89</v>
      </c>
      <c r="L411" s="4" t="str">
        <f t="shared" si="1"/>
        <v>May-2025</v>
      </c>
    </row>
    <row r="412" ht="15.75" customHeight="1">
      <c r="A412" s="4" t="s">
        <v>667</v>
      </c>
      <c r="B412" s="5">
        <v>45791.0</v>
      </c>
      <c r="C412" s="4" t="s">
        <v>28</v>
      </c>
      <c r="D412" s="4" t="s">
        <v>14</v>
      </c>
      <c r="E412" s="4" t="s">
        <v>15</v>
      </c>
      <c r="F412" s="4" t="s">
        <v>668</v>
      </c>
      <c r="G412" s="4">
        <v>7.0</v>
      </c>
      <c r="H412" s="6">
        <v>1136.59</v>
      </c>
      <c r="I412" s="6">
        <v>7956.13</v>
      </c>
      <c r="J412" s="6">
        <v>6367.89</v>
      </c>
      <c r="K412" s="6">
        <v>1588.24</v>
      </c>
      <c r="L412" s="4" t="str">
        <f t="shared" si="1"/>
        <v>May-2025</v>
      </c>
    </row>
    <row r="413" ht="15.75" customHeight="1">
      <c r="A413" s="4" t="s">
        <v>669</v>
      </c>
      <c r="B413" s="5">
        <v>45792.0</v>
      </c>
      <c r="C413" s="4" t="s">
        <v>13</v>
      </c>
      <c r="D413" s="4" t="s">
        <v>14</v>
      </c>
      <c r="E413" s="4" t="s">
        <v>25</v>
      </c>
      <c r="F413" s="4" t="s">
        <v>444</v>
      </c>
      <c r="G413" s="4">
        <v>2.0</v>
      </c>
      <c r="H413" s="6">
        <v>1122.4</v>
      </c>
      <c r="I413" s="6">
        <v>2244.8</v>
      </c>
      <c r="J413" s="6">
        <v>1753.49</v>
      </c>
      <c r="K413" s="6">
        <v>491.31</v>
      </c>
      <c r="L413" s="4" t="str">
        <f t="shared" si="1"/>
        <v>May-2025</v>
      </c>
    </row>
    <row r="414" ht="15.75" customHeight="1">
      <c r="A414" s="4" t="s">
        <v>670</v>
      </c>
      <c r="B414" s="5">
        <v>45792.0</v>
      </c>
      <c r="C414" s="4" t="s">
        <v>35</v>
      </c>
      <c r="D414" s="4" t="s">
        <v>14</v>
      </c>
      <c r="E414" s="4" t="s">
        <v>15</v>
      </c>
      <c r="F414" s="4" t="s">
        <v>103</v>
      </c>
      <c r="G414" s="4">
        <v>1.0</v>
      </c>
      <c r="H414" s="6">
        <v>232.86</v>
      </c>
      <c r="I414" s="6">
        <v>232.86</v>
      </c>
      <c r="J414" s="6">
        <v>163.94</v>
      </c>
      <c r="K414" s="6">
        <v>68.92</v>
      </c>
      <c r="L414" s="4" t="str">
        <f t="shared" si="1"/>
        <v>May-2025</v>
      </c>
    </row>
    <row r="415" ht="15.75" customHeight="1">
      <c r="A415" s="4" t="s">
        <v>671</v>
      </c>
      <c r="B415" s="5">
        <v>45793.0</v>
      </c>
      <c r="C415" s="4" t="s">
        <v>18</v>
      </c>
      <c r="D415" s="4" t="s">
        <v>19</v>
      </c>
      <c r="E415" s="4" t="s">
        <v>29</v>
      </c>
      <c r="F415" s="4" t="s">
        <v>51</v>
      </c>
      <c r="G415" s="4">
        <v>1.0</v>
      </c>
      <c r="H415" s="6">
        <v>3054.72</v>
      </c>
      <c r="I415" s="6">
        <v>3054.72</v>
      </c>
      <c r="J415" s="6">
        <v>2469.09</v>
      </c>
      <c r="K415" s="6">
        <v>585.63</v>
      </c>
      <c r="L415" s="4" t="str">
        <f t="shared" si="1"/>
        <v>May-2025</v>
      </c>
    </row>
    <row r="416" ht="15.75" customHeight="1">
      <c r="A416" s="4" t="s">
        <v>672</v>
      </c>
      <c r="B416" s="5">
        <v>45793.0</v>
      </c>
      <c r="C416" s="4" t="s">
        <v>61</v>
      </c>
      <c r="D416" s="4" t="s">
        <v>19</v>
      </c>
      <c r="E416" s="4" t="s">
        <v>25</v>
      </c>
      <c r="F416" s="4" t="s">
        <v>673</v>
      </c>
      <c r="G416" s="4">
        <v>2.0</v>
      </c>
      <c r="H416" s="6">
        <v>58821.43</v>
      </c>
      <c r="I416" s="6">
        <v>117642.86</v>
      </c>
      <c r="J416" s="6">
        <v>97618.91</v>
      </c>
      <c r="K416" s="6">
        <v>20023.95</v>
      </c>
      <c r="L416" s="4" t="str">
        <f t="shared" si="1"/>
        <v>May-2025</v>
      </c>
    </row>
    <row r="417" ht="15.75" customHeight="1">
      <c r="A417" s="4" t="s">
        <v>674</v>
      </c>
      <c r="B417" s="5">
        <v>45793.0</v>
      </c>
      <c r="C417" s="4" t="s">
        <v>155</v>
      </c>
      <c r="D417" s="4" t="s">
        <v>24</v>
      </c>
      <c r="E417" s="4" t="s">
        <v>29</v>
      </c>
      <c r="F417" s="4" t="s">
        <v>78</v>
      </c>
      <c r="G417" s="4">
        <v>5.0</v>
      </c>
      <c r="H417" s="6">
        <v>13788.13</v>
      </c>
      <c r="I417" s="6">
        <v>68940.65</v>
      </c>
      <c r="J417" s="6">
        <v>60364.76</v>
      </c>
      <c r="K417" s="6">
        <v>8575.89</v>
      </c>
      <c r="L417" s="4" t="str">
        <f t="shared" si="1"/>
        <v>May-2025</v>
      </c>
    </row>
    <row r="418" ht="15.75" customHeight="1">
      <c r="A418" s="4" t="s">
        <v>675</v>
      </c>
      <c r="B418" s="5">
        <v>45793.0</v>
      </c>
      <c r="C418" s="4" t="s">
        <v>23</v>
      </c>
      <c r="D418" s="4" t="s">
        <v>24</v>
      </c>
      <c r="E418" s="4" t="s">
        <v>20</v>
      </c>
      <c r="F418" s="4" t="s">
        <v>110</v>
      </c>
      <c r="G418" s="4">
        <v>7.0</v>
      </c>
      <c r="H418" s="6">
        <v>7774.92</v>
      </c>
      <c r="I418" s="6">
        <v>54424.44</v>
      </c>
      <c r="J418" s="6">
        <v>47787.24</v>
      </c>
      <c r="K418" s="6">
        <v>6637.2</v>
      </c>
      <c r="L418" s="4" t="str">
        <f t="shared" si="1"/>
        <v>May-2025</v>
      </c>
    </row>
    <row r="419" ht="15.75" customHeight="1">
      <c r="A419" s="4" t="s">
        <v>676</v>
      </c>
      <c r="B419" s="5">
        <v>45793.0</v>
      </c>
      <c r="C419" s="4" t="s">
        <v>92</v>
      </c>
      <c r="D419" s="4" t="s">
        <v>14</v>
      </c>
      <c r="E419" s="4" t="s">
        <v>15</v>
      </c>
      <c r="F419" s="4" t="s">
        <v>396</v>
      </c>
      <c r="G419" s="4">
        <v>7.0</v>
      </c>
      <c r="H419" s="6">
        <v>1339.24</v>
      </c>
      <c r="I419" s="6">
        <v>9374.68</v>
      </c>
      <c r="J419" s="6">
        <v>6542.01</v>
      </c>
      <c r="K419" s="6">
        <v>2832.67</v>
      </c>
      <c r="L419" s="4" t="str">
        <f t="shared" si="1"/>
        <v>May-2025</v>
      </c>
    </row>
    <row r="420" ht="15.75" customHeight="1">
      <c r="A420" s="4" t="s">
        <v>677</v>
      </c>
      <c r="B420" s="5">
        <v>45794.0</v>
      </c>
      <c r="C420" s="4" t="s">
        <v>61</v>
      </c>
      <c r="D420" s="4" t="s">
        <v>19</v>
      </c>
      <c r="E420" s="4" t="s">
        <v>15</v>
      </c>
      <c r="F420" s="4" t="s">
        <v>78</v>
      </c>
      <c r="G420" s="4">
        <v>2.0</v>
      </c>
      <c r="H420" s="6">
        <v>25698.34</v>
      </c>
      <c r="I420" s="6">
        <v>51396.68</v>
      </c>
      <c r="J420" s="6">
        <v>41265.24</v>
      </c>
      <c r="K420" s="6">
        <v>10131.44</v>
      </c>
      <c r="L420" s="4" t="str">
        <f t="shared" si="1"/>
        <v>May-2025</v>
      </c>
    </row>
    <row r="421" ht="15.75" customHeight="1">
      <c r="A421" s="4" t="s">
        <v>678</v>
      </c>
      <c r="B421" s="5">
        <v>45794.0</v>
      </c>
      <c r="C421" s="4" t="s">
        <v>180</v>
      </c>
      <c r="D421" s="4" t="s">
        <v>19</v>
      </c>
      <c r="E421" s="4" t="s">
        <v>20</v>
      </c>
      <c r="F421" s="4" t="s">
        <v>238</v>
      </c>
      <c r="G421" s="4">
        <v>5.0</v>
      </c>
      <c r="H421" s="6">
        <v>38132.43</v>
      </c>
      <c r="I421" s="6">
        <v>190662.15</v>
      </c>
      <c r="J421" s="6">
        <v>170973.7</v>
      </c>
      <c r="K421" s="6">
        <v>19688.45</v>
      </c>
      <c r="L421" s="4" t="str">
        <f t="shared" si="1"/>
        <v>May-2025</v>
      </c>
    </row>
    <row r="422" ht="15.75" customHeight="1">
      <c r="A422" s="4" t="s">
        <v>679</v>
      </c>
      <c r="B422" s="5">
        <v>45794.0</v>
      </c>
      <c r="C422" s="4" t="s">
        <v>140</v>
      </c>
      <c r="D422" s="4" t="s">
        <v>14</v>
      </c>
      <c r="E422" s="4" t="s">
        <v>25</v>
      </c>
      <c r="F422" s="4" t="s">
        <v>207</v>
      </c>
      <c r="G422" s="4">
        <v>5.0</v>
      </c>
      <c r="H422" s="6">
        <v>811.61</v>
      </c>
      <c r="I422" s="6">
        <v>4058.05</v>
      </c>
      <c r="J422" s="6">
        <v>3337.78</v>
      </c>
      <c r="K422" s="6">
        <v>720.27</v>
      </c>
      <c r="L422" s="4" t="str">
        <f t="shared" si="1"/>
        <v>May-2025</v>
      </c>
    </row>
    <row r="423" ht="15.75" customHeight="1">
      <c r="A423" s="4" t="s">
        <v>680</v>
      </c>
      <c r="B423" s="5">
        <v>45794.0</v>
      </c>
      <c r="C423" s="4" t="s">
        <v>69</v>
      </c>
      <c r="D423" s="4" t="s">
        <v>19</v>
      </c>
      <c r="E423" s="4" t="s">
        <v>15</v>
      </c>
      <c r="F423" s="4" t="s">
        <v>78</v>
      </c>
      <c r="G423" s="4">
        <v>2.0</v>
      </c>
      <c r="H423" s="6">
        <v>36468.98</v>
      </c>
      <c r="I423" s="6">
        <v>72937.96</v>
      </c>
      <c r="J423" s="6">
        <v>62736.7</v>
      </c>
      <c r="K423" s="6">
        <v>10201.26</v>
      </c>
      <c r="L423" s="4" t="str">
        <f t="shared" si="1"/>
        <v>May-2025</v>
      </c>
    </row>
    <row r="424" ht="15.75" customHeight="1">
      <c r="A424" s="4" t="s">
        <v>681</v>
      </c>
      <c r="B424" s="5">
        <v>45794.0</v>
      </c>
      <c r="C424" s="4" t="s">
        <v>23</v>
      </c>
      <c r="D424" s="4" t="s">
        <v>24</v>
      </c>
      <c r="E424" s="4" t="s">
        <v>15</v>
      </c>
      <c r="F424" s="4" t="s">
        <v>396</v>
      </c>
      <c r="G424" s="4">
        <v>5.0</v>
      </c>
      <c r="H424" s="6">
        <v>2528.62</v>
      </c>
      <c r="I424" s="6">
        <v>12643.1</v>
      </c>
      <c r="J424" s="6">
        <v>10075.72</v>
      </c>
      <c r="K424" s="6">
        <v>2567.38</v>
      </c>
      <c r="L424" s="4" t="str">
        <f t="shared" si="1"/>
        <v>May-2025</v>
      </c>
    </row>
    <row r="425" ht="15.75" customHeight="1">
      <c r="A425" s="4" t="s">
        <v>682</v>
      </c>
      <c r="B425" s="5">
        <v>45794.0</v>
      </c>
      <c r="C425" s="4" t="s">
        <v>155</v>
      </c>
      <c r="D425" s="4" t="s">
        <v>24</v>
      </c>
      <c r="E425" s="4" t="s">
        <v>29</v>
      </c>
      <c r="F425" s="4" t="s">
        <v>683</v>
      </c>
      <c r="G425" s="4">
        <v>4.0</v>
      </c>
      <c r="H425" s="6">
        <v>10592.3</v>
      </c>
      <c r="I425" s="6">
        <v>42369.2</v>
      </c>
      <c r="J425" s="6">
        <v>30892.34</v>
      </c>
      <c r="K425" s="6">
        <v>11476.86</v>
      </c>
      <c r="L425" s="4" t="str">
        <f t="shared" si="1"/>
        <v>May-2025</v>
      </c>
    </row>
    <row r="426" ht="15.75" customHeight="1">
      <c r="A426" s="4" t="s">
        <v>686</v>
      </c>
      <c r="B426" s="5">
        <v>45795.0</v>
      </c>
      <c r="C426" s="4" t="s">
        <v>92</v>
      </c>
      <c r="D426" s="4" t="s">
        <v>14</v>
      </c>
      <c r="E426" s="4" t="s">
        <v>25</v>
      </c>
      <c r="F426" s="4" t="s">
        <v>123</v>
      </c>
      <c r="G426" s="4">
        <v>3.0</v>
      </c>
      <c r="H426" s="6">
        <v>213.64</v>
      </c>
      <c r="I426" s="6">
        <v>640.92</v>
      </c>
      <c r="J426" s="6">
        <v>449.71</v>
      </c>
      <c r="K426" s="6">
        <v>191.21</v>
      </c>
      <c r="L426" s="4" t="str">
        <f t="shared" si="1"/>
        <v>May-2025</v>
      </c>
    </row>
    <row r="427" ht="15.75" customHeight="1">
      <c r="A427" s="4" t="s">
        <v>688</v>
      </c>
      <c r="B427" s="5">
        <v>45795.0</v>
      </c>
      <c r="C427" s="4" t="s">
        <v>69</v>
      </c>
      <c r="D427" s="4" t="s">
        <v>19</v>
      </c>
      <c r="E427" s="4" t="s">
        <v>25</v>
      </c>
      <c r="F427" s="4" t="s">
        <v>461</v>
      </c>
      <c r="G427" s="4">
        <v>1.0</v>
      </c>
      <c r="H427" s="6">
        <v>33321.76</v>
      </c>
      <c r="I427" s="6">
        <v>33321.76</v>
      </c>
      <c r="J427" s="6">
        <v>29605.61</v>
      </c>
      <c r="K427" s="6">
        <v>3716.15</v>
      </c>
      <c r="L427" s="4" t="str">
        <f t="shared" si="1"/>
        <v>May-2025</v>
      </c>
    </row>
    <row r="428" ht="15.75" customHeight="1">
      <c r="A428" s="4" t="s">
        <v>689</v>
      </c>
      <c r="B428" s="5">
        <v>45795.0</v>
      </c>
      <c r="C428" s="4" t="s">
        <v>140</v>
      </c>
      <c r="D428" s="4" t="s">
        <v>14</v>
      </c>
      <c r="E428" s="4" t="s">
        <v>25</v>
      </c>
      <c r="F428" s="4" t="s">
        <v>293</v>
      </c>
      <c r="G428" s="4">
        <v>5.0</v>
      </c>
      <c r="H428" s="6">
        <v>1426.21</v>
      </c>
      <c r="I428" s="6">
        <v>7131.05</v>
      </c>
      <c r="J428" s="6">
        <v>5180.09</v>
      </c>
      <c r="K428" s="6">
        <v>1950.96</v>
      </c>
      <c r="L428" s="4" t="str">
        <f t="shared" si="1"/>
        <v>May-2025</v>
      </c>
    </row>
    <row r="429" ht="15.75" customHeight="1">
      <c r="A429" s="4" t="s">
        <v>690</v>
      </c>
      <c r="B429" s="5">
        <v>45796.0</v>
      </c>
      <c r="C429" s="4" t="s">
        <v>35</v>
      </c>
      <c r="D429" s="4" t="s">
        <v>14</v>
      </c>
      <c r="E429" s="4" t="s">
        <v>20</v>
      </c>
      <c r="F429" s="4" t="s">
        <v>167</v>
      </c>
      <c r="G429" s="4">
        <v>2.0</v>
      </c>
      <c r="H429" s="6">
        <v>197.83</v>
      </c>
      <c r="I429" s="6">
        <v>395.66</v>
      </c>
      <c r="J429" s="6">
        <v>281.08</v>
      </c>
      <c r="K429" s="6">
        <v>114.58</v>
      </c>
      <c r="L429" s="4" t="str">
        <f t="shared" si="1"/>
        <v>May-2025</v>
      </c>
    </row>
    <row r="430" ht="15.75" customHeight="1">
      <c r="A430" s="4" t="s">
        <v>691</v>
      </c>
      <c r="B430" s="5">
        <v>45796.0</v>
      </c>
      <c r="C430" s="4" t="s">
        <v>92</v>
      </c>
      <c r="D430" s="4" t="s">
        <v>14</v>
      </c>
      <c r="E430" s="4" t="s">
        <v>25</v>
      </c>
      <c r="F430" s="4" t="s">
        <v>274</v>
      </c>
      <c r="G430" s="4">
        <v>5.0</v>
      </c>
      <c r="H430" s="6">
        <v>1444.16</v>
      </c>
      <c r="I430" s="6">
        <v>7220.8</v>
      </c>
      <c r="J430" s="6">
        <v>5811.77</v>
      </c>
      <c r="K430" s="6">
        <v>1409.03</v>
      </c>
      <c r="L430" s="4" t="str">
        <f t="shared" si="1"/>
        <v>May-2025</v>
      </c>
    </row>
    <row r="431" ht="15.75" customHeight="1">
      <c r="A431" s="4" t="s">
        <v>693</v>
      </c>
      <c r="B431" s="5">
        <v>45796.0</v>
      </c>
      <c r="C431" s="4" t="s">
        <v>155</v>
      </c>
      <c r="D431" s="4" t="s">
        <v>24</v>
      </c>
      <c r="E431" s="4" t="s">
        <v>20</v>
      </c>
      <c r="F431" s="4" t="s">
        <v>694</v>
      </c>
      <c r="G431" s="4">
        <v>6.0</v>
      </c>
      <c r="H431" s="6">
        <v>11906.49</v>
      </c>
      <c r="I431" s="6">
        <v>71438.94</v>
      </c>
      <c r="J431" s="6">
        <v>59655.72</v>
      </c>
      <c r="K431" s="6">
        <v>11783.22</v>
      </c>
      <c r="L431" s="4" t="str">
        <f t="shared" si="1"/>
        <v>May-2025</v>
      </c>
    </row>
    <row r="432" ht="15.75" customHeight="1">
      <c r="A432" s="4" t="s">
        <v>695</v>
      </c>
      <c r="B432" s="5">
        <v>45798.0</v>
      </c>
      <c r="C432" s="4" t="s">
        <v>75</v>
      </c>
      <c r="D432" s="4" t="s">
        <v>24</v>
      </c>
      <c r="E432" s="4" t="s">
        <v>25</v>
      </c>
      <c r="F432" s="4" t="s">
        <v>138</v>
      </c>
      <c r="G432" s="4">
        <v>5.0</v>
      </c>
      <c r="H432" s="6">
        <v>1146.55</v>
      </c>
      <c r="I432" s="6">
        <v>5732.75</v>
      </c>
      <c r="J432" s="6">
        <v>4161.41</v>
      </c>
      <c r="K432" s="6">
        <v>1571.34</v>
      </c>
      <c r="L432" s="4" t="str">
        <f t="shared" si="1"/>
        <v>May-2025</v>
      </c>
    </row>
    <row r="433" ht="15.75" customHeight="1">
      <c r="A433" s="4" t="s">
        <v>697</v>
      </c>
      <c r="B433" s="5">
        <v>45798.0</v>
      </c>
      <c r="C433" s="4" t="s">
        <v>109</v>
      </c>
      <c r="D433" s="4" t="s">
        <v>42</v>
      </c>
      <c r="E433" s="4" t="s">
        <v>29</v>
      </c>
      <c r="F433" s="4" t="s">
        <v>617</v>
      </c>
      <c r="G433" s="4">
        <v>3.0</v>
      </c>
      <c r="H433" s="6">
        <v>1113.98</v>
      </c>
      <c r="I433" s="6">
        <v>3341.94</v>
      </c>
      <c r="J433" s="6">
        <v>2968.02</v>
      </c>
      <c r="K433" s="6">
        <v>373.92</v>
      </c>
      <c r="L433" s="4" t="str">
        <f t="shared" si="1"/>
        <v>May-2025</v>
      </c>
    </row>
    <row r="434" ht="15.75" customHeight="1">
      <c r="A434" s="4" t="s">
        <v>698</v>
      </c>
      <c r="B434" s="5">
        <v>45798.0</v>
      </c>
      <c r="C434" s="4" t="s">
        <v>13</v>
      </c>
      <c r="D434" s="4" t="s">
        <v>14</v>
      </c>
      <c r="E434" s="4" t="s">
        <v>25</v>
      </c>
      <c r="F434" s="4" t="s">
        <v>36</v>
      </c>
      <c r="G434" s="4">
        <v>5.0</v>
      </c>
      <c r="H434" s="6">
        <v>529.65</v>
      </c>
      <c r="I434" s="6">
        <v>2648.25</v>
      </c>
      <c r="J434" s="6">
        <v>2188.78</v>
      </c>
      <c r="K434" s="6">
        <v>459.47</v>
      </c>
      <c r="L434" s="4" t="str">
        <f t="shared" si="1"/>
        <v>May-2025</v>
      </c>
    </row>
    <row r="435" ht="15.75" customHeight="1">
      <c r="A435" s="4" t="s">
        <v>699</v>
      </c>
      <c r="B435" s="5">
        <v>45799.0</v>
      </c>
      <c r="C435" s="4" t="s">
        <v>35</v>
      </c>
      <c r="D435" s="4" t="s">
        <v>14</v>
      </c>
      <c r="E435" s="4" t="s">
        <v>25</v>
      </c>
      <c r="F435" s="4" t="s">
        <v>270</v>
      </c>
      <c r="G435" s="4">
        <v>2.0</v>
      </c>
      <c r="H435" s="6">
        <v>563.69</v>
      </c>
      <c r="I435" s="6">
        <v>1127.38</v>
      </c>
      <c r="J435" s="6">
        <v>771.13</v>
      </c>
      <c r="K435" s="6">
        <v>356.25</v>
      </c>
      <c r="L435" s="4" t="str">
        <f t="shared" si="1"/>
        <v>May-2025</v>
      </c>
    </row>
    <row r="436" ht="15.75" customHeight="1">
      <c r="A436" s="4" t="s">
        <v>701</v>
      </c>
      <c r="B436" s="5">
        <v>45799.0</v>
      </c>
      <c r="C436" s="4" t="s">
        <v>180</v>
      </c>
      <c r="D436" s="4" t="s">
        <v>19</v>
      </c>
      <c r="E436" s="4" t="s">
        <v>25</v>
      </c>
      <c r="F436" s="4" t="s">
        <v>227</v>
      </c>
      <c r="G436" s="4">
        <v>2.0</v>
      </c>
      <c r="H436" s="6">
        <v>22786.06</v>
      </c>
      <c r="I436" s="6">
        <v>45572.12</v>
      </c>
      <c r="J436" s="6">
        <v>40648.83</v>
      </c>
      <c r="K436" s="6">
        <v>4923.29</v>
      </c>
      <c r="L436" s="4" t="str">
        <f t="shared" si="1"/>
        <v>May-2025</v>
      </c>
    </row>
    <row r="437" ht="15.75" customHeight="1">
      <c r="A437" s="4" t="s">
        <v>702</v>
      </c>
      <c r="B437" s="5">
        <v>45800.0</v>
      </c>
      <c r="C437" s="4" t="s">
        <v>109</v>
      </c>
      <c r="D437" s="4" t="s">
        <v>42</v>
      </c>
      <c r="E437" s="4" t="s">
        <v>29</v>
      </c>
      <c r="F437" s="4" t="s">
        <v>150</v>
      </c>
      <c r="G437" s="4">
        <v>4.0</v>
      </c>
      <c r="H437" s="6">
        <v>4725.7</v>
      </c>
      <c r="I437" s="6">
        <v>18902.8</v>
      </c>
      <c r="J437" s="6">
        <v>15242.21</v>
      </c>
      <c r="K437" s="6">
        <v>3660.59</v>
      </c>
      <c r="L437" s="4" t="str">
        <f t="shared" si="1"/>
        <v>May-2025</v>
      </c>
    </row>
    <row r="438" ht="15.75" customHeight="1">
      <c r="A438" s="4" t="s">
        <v>704</v>
      </c>
      <c r="B438" s="5">
        <v>45801.0</v>
      </c>
      <c r="C438" s="4" t="s">
        <v>41</v>
      </c>
      <c r="D438" s="4" t="s">
        <v>42</v>
      </c>
      <c r="E438" s="4" t="s">
        <v>29</v>
      </c>
      <c r="F438" s="4" t="s">
        <v>705</v>
      </c>
      <c r="G438" s="4">
        <v>3.0</v>
      </c>
      <c r="H438" s="6">
        <v>1548.62</v>
      </c>
      <c r="I438" s="6">
        <v>4645.86</v>
      </c>
      <c r="J438" s="6">
        <v>3749.12</v>
      </c>
      <c r="K438" s="6">
        <v>896.74</v>
      </c>
      <c r="L438" s="4" t="str">
        <f t="shared" si="1"/>
        <v>May-2025</v>
      </c>
    </row>
    <row r="439" ht="15.75" customHeight="1">
      <c r="A439" s="4" t="s">
        <v>706</v>
      </c>
      <c r="B439" s="5">
        <v>45801.0</v>
      </c>
      <c r="C439" s="4" t="s">
        <v>61</v>
      </c>
      <c r="D439" s="4" t="s">
        <v>19</v>
      </c>
      <c r="E439" s="4" t="s">
        <v>25</v>
      </c>
      <c r="F439" s="4" t="s">
        <v>707</v>
      </c>
      <c r="G439" s="4">
        <v>7.0</v>
      </c>
      <c r="H439" s="6">
        <v>51671.75</v>
      </c>
      <c r="I439" s="6">
        <v>361702.25</v>
      </c>
      <c r="J439" s="6">
        <v>299827.05</v>
      </c>
      <c r="K439" s="6">
        <v>61875.2</v>
      </c>
      <c r="L439" s="4" t="str">
        <f t="shared" si="1"/>
        <v>May-2025</v>
      </c>
    </row>
    <row r="440" ht="15.75" customHeight="1">
      <c r="A440" s="4" t="s">
        <v>708</v>
      </c>
      <c r="B440" s="5">
        <v>45801.0</v>
      </c>
      <c r="C440" s="4" t="s">
        <v>28</v>
      </c>
      <c r="D440" s="4" t="s">
        <v>14</v>
      </c>
      <c r="E440" s="4" t="s">
        <v>29</v>
      </c>
      <c r="F440" s="4" t="s">
        <v>21</v>
      </c>
      <c r="G440" s="4">
        <v>4.0</v>
      </c>
      <c r="H440" s="6">
        <v>1086.16</v>
      </c>
      <c r="I440" s="6">
        <v>4344.64</v>
      </c>
      <c r="J440" s="6">
        <v>3372.75</v>
      </c>
      <c r="K440" s="6">
        <v>971.89</v>
      </c>
      <c r="L440" s="4" t="str">
        <f t="shared" si="1"/>
        <v>May-2025</v>
      </c>
    </row>
    <row r="441" ht="15.75" customHeight="1">
      <c r="A441" s="4" t="s">
        <v>709</v>
      </c>
      <c r="B441" s="5">
        <v>45801.0</v>
      </c>
      <c r="C441" s="4" t="s">
        <v>69</v>
      </c>
      <c r="D441" s="4" t="s">
        <v>19</v>
      </c>
      <c r="E441" s="4" t="s">
        <v>15</v>
      </c>
      <c r="F441" s="4" t="s">
        <v>710</v>
      </c>
      <c r="G441" s="4">
        <v>2.0</v>
      </c>
      <c r="H441" s="6">
        <v>22618.12</v>
      </c>
      <c r="I441" s="6">
        <v>45236.24</v>
      </c>
      <c r="J441" s="6">
        <v>37741.18</v>
      </c>
      <c r="K441" s="6">
        <v>7495.06</v>
      </c>
      <c r="L441" s="4" t="str">
        <f t="shared" si="1"/>
        <v>May-2025</v>
      </c>
    </row>
    <row r="442" ht="15.75" customHeight="1">
      <c r="A442" s="4" t="s">
        <v>711</v>
      </c>
      <c r="B442" s="5">
        <v>45802.0</v>
      </c>
      <c r="C442" s="4" t="s">
        <v>140</v>
      </c>
      <c r="D442" s="4" t="s">
        <v>14</v>
      </c>
      <c r="E442" s="4" t="s">
        <v>29</v>
      </c>
      <c r="F442" s="4" t="s">
        <v>452</v>
      </c>
      <c r="G442" s="4">
        <v>2.0</v>
      </c>
      <c r="H442" s="6">
        <v>203.52</v>
      </c>
      <c r="I442" s="6">
        <v>407.04</v>
      </c>
      <c r="J442" s="6">
        <v>299.22</v>
      </c>
      <c r="K442" s="6">
        <v>107.82</v>
      </c>
      <c r="L442" s="4" t="str">
        <f t="shared" si="1"/>
        <v>May-2025</v>
      </c>
    </row>
    <row r="443" ht="15.75" customHeight="1">
      <c r="A443" s="4" t="s">
        <v>712</v>
      </c>
      <c r="B443" s="5">
        <v>45803.0</v>
      </c>
      <c r="C443" s="4" t="s">
        <v>140</v>
      </c>
      <c r="D443" s="4" t="s">
        <v>14</v>
      </c>
      <c r="E443" s="4" t="s">
        <v>29</v>
      </c>
      <c r="F443" s="4" t="s">
        <v>713</v>
      </c>
      <c r="G443" s="4">
        <v>1.0</v>
      </c>
      <c r="H443" s="6">
        <v>1364.96</v>
      </c>
      <c r="I443" s="6">
        <v>1364.96</v>
      </c>
      <c r="J443" s="6">
        <v>1055.84</v>
      </c>
      <c r="K443" s="6">
        <v>309.12</v>
      </c>
      <c r="L443" s="4" t="str">
        <f t="shared" si="1"/>
        <v>May-2025</v>
      </c>
    </row>
    <row r="444" ht="15.75" customHeight="1">
      <c r="A444" s="4" t="s">
        <v>714</v>
      </c>
      <c r="B444" s="5">
        <v>45803.0</v>
      </c>
      <c r="C444" s="4" t="s">
        <v>155</v>
      </c>
      <c r="D444" s="4" t="s">
        <v>24</v>
      </c>
      <c r="E444" s="4" t="s">
        <v>15</v>
      </c>
      <c r="F444" s="4" t="s">
        <v>16</v>
      </c>
      <c r="G444" s="4">
        <v>4.0</v>
      </c>
      <c r="H444" s="6">
        <v>7747.42</v>
      </c>
      <c r="I444" s="6">
        <v>30989.68</v>
      </c>
      <c r="J444" s="6">
        <v>22825.39</v>
      </c>
      <c r="K444" s="6">
        <v>8164.29</v>
      </c>
      <c r="L444" s="4" t="str">
        <f t="shared" si="1"/>
        <v>May-2025</v>
      </c>
    </row>
    <row r="445" ht="15.75" customHeight="1">
      <c r="A445" s="4" t="s">
        <v>715</v>
      </c>
      <c r="B445" s="5">
        <v>45803.0</v>
      </c>
      <c r="C445" s="4" t="s">
        <v>69</v>
      </c>
      <c r="D445" s="4" t="s">
        <v>19</v>
      </c>
      <c r="E445" s="4" t="s">
        <v>15</v>
      </c>
      <c r="F445" s="4" t="s">
        <v>199</v>
      </c>
      <c r="G445" s="4">
        <v>3.0</v>
      </c>
      <c r="H445" s="6">
        <v>62754.74</v>
      </c>
      <c r="I445" s="6">
        <v>188264.22</v>
      </c>
      <c r="J445" s="6">
        <v>152805.01</v>
      </c>
      <c r="K445" s="6">
        <v>35459.21</v>
      </c>
      <c r="L445" s="4" t="str">
        <f t="shared" si="1"/>
        <v>May-2025</v>
      </c>
    </row>
    <row r="446" ht="15.75" customHeight="1">
      <c r="A446" s="4" t="s">
        <v>716</v>
      </c>
      <c r="B446" s="5">
        <v>45803.0</v>
      </c>
      <c r="C446" s="4" t="s">
        <v>35</v>
      </c>
      <c r="D446" s="4" t="s">
        <v>14</v>
      </c>
      <c r="E446" s="4" t="s">
        <v>20</v>
      </c>
      <c r="F446" s="4" t="s">
        <v>45</v>
      </c>
      <c r="G446" s="4">
        <v>4.0</v>
      </c>
      <c r="H446" s="6">
        <v>74.17</v>
      </c>
      <c r="I446" s="6">
        <v>296.68</v>
      </c>
      <c r="J446" s="6">
        <v>241.51</v>
      </c>
      <c r="K446" s="6">
        <v>55.17</v>
      </c>
      <c r="L446" s="4" t="str">
        <f t="shared" si="1"/>
        <v>May-2025</v>
      </c>
    </row>
    <row r="447" ht="15.75" customHeight="1">
      <c r="A447" s="4" t="s">
        <v>717</v>
      </c>
      <c r="B447" s="5">
        <v>45803.0</v>
      </c>
      <c r="C447" s="4" t="s">
        <v>75</v>
      </c>
      <c r="D447" s="4" t="s">
        <v>24</v>
      </c>
      <c r="E447" s="4" t="s">
        <v>25</v>
      </c>
      <c r="F447" s="4" t="s">
        <v>497</v>
      </c>
      <c r="G447" s="4">
        <v>1.0</v>
      </c>
      <c r="H447" s="6">
        <v>11049.3</v>
      </c>
      <c r="I447" s="6">
        <v>11049.3</v>
      </c>
      <c r="J447" s="6">
        <v>7958.42</v>
      </c>
      <c r="K447" s="6">
        <v>3090.88</v>
      </c>
      <c r="L447" s="4" t="str">
        <f t="shared" si="1"/>
        <v>May-2025</v>
      </c>
    </row>
    <row r="448" ht="15.75" customHeight="1">
      <c r="A448" s="4" t="s">
        <v>718</v>
      </c>
      <c r="B448" s="5">
        <v>45803.0</v>
      </c>
      <c r="C448" s="4" t="s">
        <v>92</v>
      </c>
      <c r="D448" s="4" t="s">
        <v>14</v>
      </c>
      <c r="E448" s="4" t="s">
        <v>25</v>
      </c>
      <c r="F448" s="4" t="s">
        <v>719</v>
      </c>
      <c r="G448" s="4">
        <v>6.0</v>
      </c>
      <c r="H448" s="6">
        <v>268.22</v>
      </c>
      <c r="I448" s="6">
        <v>1609.32</v>
      </c>
      <c r="J448" s="6">
        <v>1247.13</v>
      </c>
      <c r="K448" s="6">
        <v>362.19</v>
      </c>
      <c r="L448" s="4" t="str">
        <f t="shared" si="1"/>
        <v>May-2025</v>
      </c>
    </row>
    <row r="449" ht="15.75" customHeight="1">
      <c r="A449" s="4" t="s">
        <v>720</v>
      </c>
      <c r="B449" s="5">
        <v>45804.0</v>
      </c>
      <c r="C449" s="4" t="s">
        <v>47</v>
      </c>
      <c r="D449" s="4" t="s">
        <v>14</v>
      </c>
      <c r="E449" s="4" t="s">
        <v>25</v>
      </c>
      <c r="F449" s="4" t="s">
        <v>309</v>
      </c>
      <c r="G449" s="4">
        <v>7.0</v>
      </c>
      <c r="H449" s="6">
        <v>448.36</v>
      </c>
      <c r="I449" s="6">
        <v>3138.52</v>
      </c>
      <c r="J449" s="6">
        <v>2448.44</v>
      </c>
      <c r="K449" s="6">
        <v>690.08</v>
      </c>
      <c r="L449" s="4" t="str">
        <f t="shared" si="1"/>
        <v>May-2025</v>
      </c>
    </row>
    <row r="450" ht="15.75" customHeight="1">
      <c r="A450" s="4" t="s">
        <v>721</v>
      </c>
      <c r="B450" s="5">
        <v>45804.0</v>
      </c>
      <c r="C450" s="4" t="s">
        <v>47</v>
      </c>
      <c r="D450" s="4" t="s">
        <v>14</v>
      </c>
      <c r="E450" s="4" t="s">
        <v>15</v>
      </c>
      <c r="F450" s="4" t="s">
        <v>129</v>
      </c>
      <c r="G450" s="4">
        <v>3.0</v>
      </c>
      <c r="H450" s="6">
        <v>520.96</v>
      </c>
      <c r="I450" s="6">
        <v>1562.88</v>
      </c>
      <c r="J450" s="6">
        <v>1111.69</v>
      </c>
      <c r="K450" s="6">
        <v>451.19</v>
      </c>
      <c r="L450" s="4" t="str">
        <f t="shared" si="1"/>
        <v>May-2025</v>
      </c>
    </row>
    <row r="451" ht="15.75" customHeight="1">
      <c r="A451" s="4" t="s">
        <v>722</v>
      </c>
      <c r="B451" s="5">
        <v>45805.0</v>
      </c>
      <c r="C451" s="4" t="s">
        <v>61</v>
      </c>
      <c r="D451" s="4" t="s">
        <v>19</v>
      </c>
      <c r="E451" s="4" t="s">
        <v>20</v>
      </c>
      <c r="F451" s="4" t="s">
        <v>396</v>
      </c>
      <c r="G451" s="4">
        <v>7.0</v>
      </c>
      <c r="H451" s="6">
        <v>16217.53</v>
      </c>
      <c r="I451" s="6">
        <v>113522.71</v>
      </c>
      <c r="J451" s="6">
        <v>96434.86</v>
      </c>
      <c r="K451" s="6">
        <v>17087.85</v>
      </c>
      <c r="L451" s="4" t="str">
        <f t="shared" si="1"/>
        <v>May-2025</v>
      </c>
    </row>
    <row r="452" ht="15.75" customHeight="1">
      <c r="A452" s="4" t="s">
        <v>723</v>
      </c>
      <c r="B452" s="5">
        <v>45805.0</v>
      </c>
      <c r="C452" s="4" t="s">
        <v>61</v>
      </c>
      <c r="D452" s="4" t="s">
        <v>19</v>
      </c>
      <c r="E452" s="4" t="s">
        <v>25</v>
      </c>
      <c r="F452" s="4" t="s">
        <v>43</v>
      </c>
      <c r="G452" s="4">
        <v>7.0</v>
      </c>
      <c r="H452" s="6">
        <v>21522.29</v>
      </c>
      <c r="I452" s="6">
        <v>150656.03</v>
      </c>
      <c r="J452" s="6">
        <v>126981.06</v>
      </c>
      <c r="K452" s="6">
        <v>23674.97</v>
      </c>
      <c r="L452" s="4" t="str">
        <f t="shared" si="1"/>
        <v>May-2025</v>
      </c>
    </row>
    <row r="453" ht="15.75" customHeight="1">
      <c r="A453" s="4" t="s">
        <v>724</v>
      </c>
      <c r="B453" s="5">
        <v>45805.0</v>
      </c>
      <c r="C453" s="4" t="s">
        <v>180</v>
      </c>
      <c r="D453" s="4" t="s">
        <v>19</v>
      </c>
      <c r="E453" s="4" t="s">
        <v>20</v>
      </c>
      <c r="F453" s="4" t="s">
        <v>725</v>
      </c>
      <c r="G453" s="4">
        <v>2.0</v>
      </c>
      <c r="H453" s="6">
        <v>26215.3</v>
      </c>
      <c r="I453" s="6">
        <v>52430.6</v>
      </c>
      <c r="J453" s="6">
        <v>46805.73</v>
      </c>
      <c r="K453" s="6">
        <v>5624.87</v>
      </c>
      <c r="L453" s="4" t="str">
        <f t="shared" si="1"/>
        <v>May-2025</v>
      </c>
    </row>
    <row r="454" ht="15.75" customHeight="1">
      <c r="A454" s="4" t="s">
        <v>726</v>
      </c>
      <c r="B454" s="5">
        <v>45806.0</v>
      </c>
      <c r="C454" s="4" t="s">
        <v>32</v>
      </c>
      <c r="D454" s="4" t="s">
        <v>19</v>
      </c>
      <c r="E454" s="4" t="s">
        <v>25</v>
      </c>
      <c r="F454" s="4" t="s">
        <v>727</v>
      </c>
      <c r="G454" s="4">
        <v>4.0</v>
      </c>
      <c r="H454" s="6">
        <v>43833.18</v>
      </c>
      <c r="I454" s="6">
        <v>175332.72</v>
      </c>
      <c r="J454" s="6">
        <v>159433.48</v>
      </c>
      <c r="K454" s="6">
        <v>15899.24</v>
      </c>
      <c r="L454" s="4" t="str">
        <f t="shared" si="1"/>
        <v>May-2025</v>
      </c>
    </row>
    <row r="455" ht="15.75" customHeight="1">
      <c r="A455" s="4" t="s">
        <v>728</v>
      </c>
      <c r="B455" s="5">
        <v>45806.0</v>
      </c>
      <c r="C455" s="4" t="s">
        <v>160</v>
      </c>
      <c r="D455" s="4" t="s">
        <v>42</v>
      </c>
      <c r="E455" s="4" t="s">
        <v>20</v>
      </c>
      <c r="F455" s="4" t="s">
        <v>110</v>
      </c>
      <c r="G455" s="4">
        <v>6.0</v>
      </c>
      <c r="H455" s="6">
        <v>3668.71</v>
      </c>
      <c r="I455" s="6">
        <v>22012.26</v>
      </c>
      <c r="J455" s="6">
        <v>17326.49</v>
      </c>
      <c r="K455" s="6">
        <v>4685.77</v>
      </c>
      <c r="L455" s="4" t="str">
        <f t="shared" si="1"/>
        <v>May-2025</v>
      </c>
    </row>
    <row r="456" ht="15.75" customHeight="1">
      <c r="A456" s="4" t="s">
        <v>729</v>
      </c>
      <c r="B456" s="5">
        <v>45806.0</v>
      </c>
      <c r="C456" s="4" t="s">
        <v>75</v>
      </c>
      <c r="D456" s="4" t="s">
        <v>24</v>
      </c>
      <c r="E456" s="4" t="s">
        <v>20</v>
      </c>
      <c r="F456" s="4" t="s">
        <v>199</v>
      </c>
      <c r="G456" s="4">
        <v>3.0</v>
      </c>
      <c r="H456" s="6">
        <v>7063.5</v>
      </c>
      <c r="I456" s="6">
        <v>21190.5</v>
      </c>
      <c r="J456" s="6">
        <v>15826.62</v>
      </c>
      <c r="K456" s="6">
        <v>5363.88</v>
      </c>
      <c r="L456" s="4" t="str">
        <f t="shared" si="1"/>
        <v>May-2025</v>
      </c>
    </row>
    <row r="457" ht="15.75" customHeight="1">
      <c r="A457" s="4" t="s">
        <v>730</v>
      </c>
      <c r="B457" s="5">
        <v>45806.0</v>
      </c>
      <c r="C457" s="4" t="s">
        <v>18</v>
      </c>
      <c r="D457" s="4" t="s">
        <v>19</v>
      </c>
      <c r="E457" s="4" t="s">
        <v>29</v>
      </c>
      <c r="F457" s="4" t="s">
        <v>105</v>
      </c>
      <c r="G457" s="4">
        <v>5.0</v>
      </c>
      <c r="H457" s="6">
        <v>73397.08</v>
      </c>
      <c r="I457" s="6">
        <v>366985.4</v>
      </c>
      <c r="J457" s="6">
        <v>304677.51</v>
      </c>
      <c r="K457" s="6">
        <v>62307.89</v>
      </c>
      <c r="L457" s="4" t="str">
        <f t="shared" si="1"/>
        <v>May-2025</v>
      </c>
    </row>
    <row r="458" ht="15.75" customHeight="1">
      <c r="A458" s="4" t="s">
        <v>731</v>
      </c>
      <c r="B458" s="5">
        <v>45807.0</v>
      </c>
      <c r="C458" s="4" t="s">
        <v>155</v>
      </c>
      <c r="D458" s="4" t="s">
        <v>24</v>
      </c>
      <c r="E458" s="4" t="s">
        <v>25</v>
      </c>
      <c r="F458" s="4" t="s">
        <v>557</v>
      </c>
      <c r="G458" s="4">
        <v>2.0</v>
      </c>
      <c r="H458" s="6">
        <v>12179.2</v>
      </c>
      <c r="I458" s="6">
        <v>24358.4</v>
      </c>
      <c r="J458" s="6">
        <v>17689.77</v>
      </c>
      <c r="K458" s="6">
        <v>6668.63</v>
      </c>
      <c r="L458" s="4" t="str">
        <f t="shared" si="1"/>
        <v>May-2025</v>
      </c>
    </row>
    <row r="459" ht="15.75" customHeight="1">
      <c r="A459" s="4" t="s">
        <v>732</v>
      </c>
      <c r="B459" s="5">
        <v>45807.0</v>
      </c>
      <c r="C459" s="4" t="s">
        <v>13</v>
      </c>
      <c r="D459" s="4" t="s">
        <v>14</v>
      </c>
      <c r="E459" s="4" t="s">
        <v>15</v>
      </c>
      <c r="F459" s="4" t="s">
        <v>207</v>
      </c>
      <c r="G459" s="4">
        <v>6.0</v>
      </c>
      <c r="H459" s="6">
        <v>1396.34</v>
      </c>
      <c r="I459" s="6">
        <v>8378.04</v>
      </c>
      <c r="J459" s="6">
        <v>5823.01</v>
      </c>
      <c r="K459" s="6">
        <v>2555.03</v>
      </c>
      <c r="L459" s="4" t="str">
        <f t="shared" si="1"/>
        <v>May-2025</v>
      </c>
    </row>
    <row r="460" ht="15.75" customHeight="1">
      <c r="A460" s="4" t="s">
        <v>733</v>
      </c>
      <c r="B460" s="5">
        <v>45807.0</v>
      </c>
      <c r="C460" s="4" t="s">
        <v>47</v>
      </c>
      <c r="D460" s="4" t="s">
        <v>14</v>
      </c>
      <c r="E460" s="4" t="s">
        <v>20</v>
      </c>
      <c r="F460" s="4" t="s">
        <v>633</v>
      </c>
      <c r="G460" s="4">
        <v>3.0</v>
      </c>
      <c r="H460" s="6">
        <v>645.56</v>
      </c>
      <c r="I460" s="6">
        <v>1936.68</v>
      </c>
      <c r="J460" s="6">
        <v>1418.44</v>
      </c>
      <c r="K460" s="6">
        <v>518.24</v>
      </c>
      <c r="L460" s="4" t="str">
        <f t="shared" si="1"/>
        <v>May-2025</v>
      </c>
    </row>
    <row r="461" ht="15.75" customHeight="1">
      <c r="A461" s="4" t="s">
        <v>734</v>
      </c>
      <c r="B461" s="5">
        <v>45807.0</v>
      </c>
      <c r="C461" s="4" t="s">
        <v>69</v>
      </c>
      <c r="D461" s="4" t="s">
        <v>19</v>
      </c>
      <c r="E461" s="4" t="s">
        <v>25</v>
      </c>
      <c r="F461" s="4" t="s">
        <v>735</v>
      </c>
      <c r="G461" s="4">
        <v>2.0</v>
      </c>
      <c r="H461" s="6">
        <v>40352.7</v>
      </c>
      <c r="I461" s="6">
        <v>80705.4</v>
      </c>
      <c r="J461" s="6">
        <v>68132.68</v>
      </c>
      <c r="K461" s="6">
        <v>12572.72</v>
      </c>
      <c r="L461" s="4" t="str">
        <f t="shared" si="1"/>
        <v>May-2025</v>
      </c>
    </row>
    <row r="462" ht="15.75" customHeight="1">
      <c r="A462" s="4" t="s">
        <v>736</v>
      </c>
      <c r="B462" s="5">
        <v>45808.0</v>
      </c>
      <c r="C462" s="4" t="s">
        <v>140</v>
      </c>
      <c r="D462" s="4" t="s">
        <v>14</v>
      </c>
      <c r="E462" s="4" t="s">
        <v>25</v>
      </c>
      <c r="F462" s="4" t="s">
        <v>448</v>
      </c>
      <c r="G462" s="4">
        <v>2.0</v>
      </c>
      <c r="H462" s="6">
        <v>1183.74</v>
      </c>
      <c r="I462" s="6">
        <v>2367.48</v>
      </c>
      <c r="J462" s="6">
        <v>1623.72</v>
      </c>
      <c r="K462" s="6">
        <v>743.76</v>
      </c>
      <c r="L462" s="4" t="str">
        <f t="shared" si="1"/>
        <v>May-2025</v>
      </c>
    </row>
    <row r="463" ht="15.75" customHeight="1">
      <c r="A463" s="4" t="s">
        <v>737</v>
      </c>
      <c r="B463" s="5">
        <v>45808.0</v>
      </c>
      <c r="C463" s="4" t="s">
        <v>75</v>
      </c>
      <c r="D463" s="4" t="s">
        <v>24</v>
      </c>
      <c r="E463" s="4" t="s">
        <v>20</v>
      </c>
      <c r="F463" s="4" t="s">
        <v>138</v>
      </c>
      <c r="G463" s="4">
        <v>7.0</v>
      </c>
      <c r="H463" s="6">
        <v>7625.2</v>
      </c>
      <c r="I463" s="6">
        <v>53376.4</v>
      </c>
      <c r="J463" s="6">
        <v>45433.42</v>
      </c>
      <c r="K463" s="6">
        <v>7942.98</v>
      </c>
      <c r="L463" s="4" t="str">
        <f t="shared" si="1"/>
        <v>May-2025</v>
      </c>
    </row>
    <row r="464" ht="15.75" customHeight="1">
      <c r="A464" s="4" t="s">
        <v>738</v>
      </c>
      <c r="B464" s="5">
        <v>45808.0</v>
      </c>
      <c r="C464" s="4" t="s">
        <v>47</v>
      </c>
      <c r="D464" s="4" t="s">
        <v>14</v>
      </c>
      <c r="E464" s="4" t="s">
        <v>20</v>
      </c>
      <c r="F464" s="4" t="s">
        <v>573</v>
      </c>
      <c r="G464" s="4">
        <v>3.0</v>
      </c>
      <c r="H464" s="6">
        <v>534.58</v>
      </c>
      <c r="I464" s="6">
        <v>1603.74</v>
      </c>
      <c r="J464" s="6">
        <v>1205.5</v>
      </c>
      <c r="K464" s="6">
        <v>398.24</v>
      </c>
      <c r="L464" s="4" t="str">
        <f t="shared" si="1"/>
        <v>May-2025</v>
      </c>
    </row>
    <row r="465" ht="15.75" customHeight="1">
      <c r="A465" s="4" t="s">
        <v>739</v>
      </c>
      <c r="B465" s="5">
        <v>45808.0</v>
      </c>
      <c r="C465" s="4" t="s">
        <v>32</v>
      </c>
      <c r="D465" s="4" t="s">
        <v>19</v>
      </c>
      <c r="E465" s="4" t="s">
        <v>15</v>
      </c>
      <c r="F465" s="4" t="s">
        <v>121</v>
      </c>
      <c r="G465" s="4">
        <v>2.0</v>
      </c>
      <c r="H465" s="6">
        <v>19939.27</v>
      </c>
      <c r="I465" s="6">
        <v>39878.54</v>
      </c>
      <c r="J465" s="6">
        <v>33529.95</v>
      </c>
      <c r="K465" s="6">
        <v>6348.59</v>
      </c>
      <c r="L465" s="4" t="str">
        <f t="shared" si="1"/>
        <v>May-2025</v>
      </c>
    </row>
    <row r="466" ht="15.75" customHeight="1">
      <c r="A466" s="4" t="s">
        <v>740</v>
      </c>
      <c r="B466" s="5">
        <v>45809.0</v>
      </c>
      <c r="C466" s="4" t="s">
        <v>140</v>
      </c>
      <c r="D466" s="4" t="s">
        <v>14</v>
      </c>
      <c r="E466" s="4" t="s">
        <v>20</v>
      </c>
      <c r="F466" s="4" t="s">
        <v>741</v>
      </c>
      <c r="G466" s="4">
        <v>4.0</v>
      </c>
      <c r="H466" s="6">
        <v>1119.39</v>
      </c>
      <c r="I466" s="6">
        <v>4477.56</v>
      </c>
      <c r="J466" s="6">
        <v>3539.74</v>
      </c>
      <c r="K466" s="6">
        <v>937.82</v>
      </c>
      <c r="L466" s="4" t="str">
        <f t="shared" si="1"/>
        <v>Jun-2025</v>
      </c>
    </row>
    <row r="467" ht="15.75" customHeight="1">
      <c r="A467" s="4" t="s">
        <v>742</v>
      </c>
      <c r="B467" s="5">
        <v>45809.0</v>
      </c>
      <c r="C467" s="4" t="s">
        <v>32</v>
      </c>
      <c r="D467" s="4" t="s">
        <v>19</v>
      </c>
      <c r="E467" s="4" t="s">
        <v>29</v>
      </c>
      <c r="F467" s="4" t="s">
        <v>186</v>
      </c>
      <c r="G467" s="4">
        <v>6.0</v>
      </c>
      <c r="H467" s="6">
        <v>17032.31</v>
      </c>
      <c r="I467" s="6">
        <v>102193.86</v>
      </c>
      <c r="J467" s="6">
        <v>87174.2</v>
      </c>
      <c r="K467" s="6">
        <v>15019.66</v>
      </c>
      <c r="L467" s="4" t="str">
        <f t="shared" si="1"/>
        <v>Jun-2025</v>
      </c>
    </row>
    <row r="468" ht="15.75" customHeight="1">
      <c r="A468" s="4" t="s">
        <v>743</v>
      </c>
      <c r="B468" s="5">
        <v>45809.0</v>
      </c>
      <c r="C468" s="4" t="s">
        <v>13</v>
      </c>
      <c r="D468" s="4" t="s">
        <v>14</v>
      </c>
      <c r="E468" s="4" t="s">
        <v>15</v>
      </c>
      <c r="F468" s="4" t="s">
        <v>468</v>
      </c>
      <c r="G468" s="4">
        <v>5.0</v>
      </c>
      <c r="H468" s="6">
        <v>1109.69</v>
      </c>
      <c r="I468" s="6">
        <v>5548.45</v>
      </c>
      <c r="J468" s="6">
        <v>4045.65</v>
      </c>
      <c r="K468" s="6">
        <v>1502.8</v>
      </c>
      <c r="L468" s="4" t="str">
        <f t="shared" si="1"/>
        <v>Jun-2025</v>
      </c>
    </row>
    <row r="469" ht="15.75" customHeight="1">
      <c r="A469" s="4" t="s">
        <v>744</v>
      </c>
      <c r="B469" s="5">
        <v>45809.0</v>
      </c>
      <c r="C469" s="4" t="s">
        <v>102</v>
      </c>
      <c r="D469" s="4" t="s">
        <v>24</v>
      </c>
      <c r="E469" s="4" t="s">
        <v>25</v>
      </c>
      <c r="F469" s="4" t="s">
        <v>557</v>
      </c>
      <c r="G469" s="4">
        <v>5.0</v>
      </c>
      <c r="H469" s="6">
        <v>1892.97</v>
      </c>
      <c r="I469" s="6">
        <v>9464.85</v>
      </c>
      <c r="J469" s="6">
        <v>7901.73</v>
      </c>
      <c r="K469" s="6">
        <v>1563.12</v>
      </c>
      <c r="L469" s="4" t="str">
        <f t="shared" si="1"/>
        <v>Jun-2025</v>
      </c>
    </row>
    <row r="470" ht="15.75" customHeight="1">
      <c r="A470" s="4" t="s">
        <v>745</v>
      </c>
      <c r="B470" s="5">
        <v>45809.0</v>
      </c>
      <c r="C470" s="4" t="s">
        <v>160</v>
      </c>
      <c r="D470" s="4" t="s">
        <v>42</v>
      </c>
      <c r="E470" s="4" t="s">
        <v>20</v>
      </c>
      <c r="F470" s="4" t="s">
        <v>746</v>
      </c>
      <c r="G470" s="4">
        <v>1.0</v>
      </c>
      <c r="H470" s="6">
        <v>1564.58</v>
      </c>
      <c r="I470" s="6">
        <v>1564.58</v>
      </c>
      <c r="J470" s="6">
        <v>1211.9</v>
      </c>
      <c r="K470" s="6">
        <v>352.68</v>
      </c>
      <c r="L470" s="4" t="str">
        <f t="shared" si="1"/>
        <v>Jun-2025</v>
      </c>
    </row>
    <row r="471" ht="15.75" customHeight="1">
      <c r="A471" s="4" t="s">
        <v>747</v>
      </c>
      <c r="B471" s="5">
        <v>45809.0</v>
      </c>
      <c r="C471" s="4" t="s">
        <v>32</v>
      </c>
      <c r="D471" s="4" t="s">
        <v>19</v>
      </c>
      <c r="E471" s="4" t="s">
        <v>15</v>
      </c>
      <c r="F471" s="4" t="s">
        <v>243</v>
      </c>
      <c r="G471" s="4">
        <v>5.0</v>
      </c>
      <c r="H471" s="6">
        <v>31573.4</v>
      </c>
      <c r="I471" s="6">
        <v>157867.0</v>
      </c>
      <c r="J471" s="6">
        <v>130956.39</v>
      </c>
      <c r="K471" s="6">
        <v>26910.61</v>
      </c>
      <c r="L471" s="4" t="str">
        <f t="shared" si="1"/>
        <v>Jun-2025</v>
      </c>
    </row>
    <row r="472" ht="15.75" customHeight="1">
      <c r="A472" s="4" t="s">
        <v>748</v>
      </c>
      <c r="B472" s="5">
        <v>45809.0</v>
      </c>
      <c r="C472" s="4" t="s">
        <v>61</v>
      </c>
      <c r="D472" s="4" t="s">
        <v>19</v>
      </c>
      <c r="E472" s="4" t="s">
        <v>20</v>
      </c>
      <c r="F472" s="4" t="s">
        <v>346</v>
      </c>
      <c r="G472" s="4">
        <v>5.0</v>
      </c>
      <c r="H472" s="6">
        <v>53548.36</v>
      </c>
      <c r="I472" s="6">
        <v>267741.8</v>
      </c>
      <c r="J472" s="6">
        <v>215049.15</v>
      </c>
      <c r="K472" s="6">
        <v>52692.65</v>
      </c>
      <c r="L472" s="4" t="str">
        <f t="shared" si="1"/>
        <v>Jun-2025</v>
      </c>
    </row>
    <row r="473" ht="15.75" customHeight="1">
      <c r="A473" s="4" t="s">
        <v>749</v>
      </c>
      <c r="B473" s="5">
        <v>45809.0</v>
      </c>
      <c r="C473" s="4" t="s">
        <v>69</v>
      </c>
      <c r="D473" s="4" t="s">
        <v>19</v>
      </c>
      <c r="E473" s="4" t="s">
        <v>25</v>
      </c>
      <c r="F473" s="4" t="s">
        <v>129</v>
      </c>
      <c r="G473" s="4">
        <v>6.0</v>
      </c>
      <c r="H473" s="6">
        <v>73662.11</v>
      </c>
      <c r="I473" s="6">
        <v>441972.66</v>
      </c>
      <c r="J473" s="6">
        <v>395485.52</v>
      </c>
      <c r="K473" s="6">
        <v>46487.14</v>
      </c>
      <c r="L473" s="4" t="str">
        <f t="shared" si="1"/>
        <v>Jun-2025</v>
      </c>
    </row>
    <row r="474" ht="15.75" customHeight="1">
      <c r="A474" s="4" t="s">
        <v>750</v>
      </c>
      <c r="B474" s="5">
        <v>45810.0</v>
      </c>
      <c r="C474" s="4" t="s">
        <v>102</v>
      </c>
      <c r="D474" s="4" t="s">
        <v>24</v>
      </c>
      <c r="E474" s="4" t="s">
        <v>20</v>
      </c>
      <c r="F474" s="4" t="s">
        <v>552</v>
      </c>
      <c r="G474" s="4">
        <v>4.0</v>
      </c>
      <c r="H474" s="6">
        <v>12187.77</v>
      </c>
      <c r="I474" s="6">
        <v>48751.08</v>
      </c>
      <c r="J474" s="6">
        <v>39084.49</v>
      </c>
      <c r="K474" s="6">
        <v>9666.59</v>
      </c>
      <c r="L474" s="4" t="str">
        <f t="shared" si="1"/>
        <v>Jun-2025</v>
      </c>
    </row>
    <row r="475" ht="15.75" customHeight="1">
      <c r="A475" s="4" t="s">
        <v>751</v>
      </c>
      <c r="B475" s="5">
        <v>45810.0</v>
      </c>
      <c r="C475" s="4" t="s">
        <v>140</v>
      </c>
      <c r="D475" s="4" t="s">
        <v>14</v>
      </c>
      <c r="E475" s="4" t="s">
        <v>25</v>
      </c>
      <c r="F475" s="4" t="s">
        <v>95</v>
      </c>
      <c r="G475" s="4">
        <v>3.0</v>
      </c>
      <c r="H475" s="6">
        <v>1309.2</v>
      </c>
      <c r="I475" s="6">
        <v>3927.6</v>
      </c>
      <c r="J475" s="6">
        <v>2925.47</v>
      </c>
      <c r="K475" s="6">
        <v>1002.13</v>
      </c>
      <c r="L475" s="4" t="str">
        <f t="shared" si="1"/>
        <v>Jun-2025</v>
      </c>
    </row>
    <row r="476" ht="15.75" customHeight="1">
      <c r="A476" s="4" t="s">
        <v>752</v>
      </c>
      <c r="B476" s="5">
        <v>45810.0</v>
      </c>
      <c r="C476" s="4" t="s">
        <v>92</v>
      </c>
      <c r="D476" s="4" t="s">
        <v>14</v>
      </c>
      <c r="E476" s="4" t="s">
        <v>20</v>
      </c>
      <c r="F476" s="4" t="s">
        <v>661</v>
      </c>
      <c r="G476" s="4">
        <v>6.0</v>
      </c>
      <c r="H476" s="6">
        <v>465.48</v>
      </c>
      <c r="I476" s="6">
        <v>2792.88</v>
      </c>
      <c r="J476" s="6">
        <v>2356.22</v>
      </c>
      <c r="K476" s="6">
        <v>436.66</v>
      </c>
      <c r="L476" s="4" t="str">
        <f t="shared" si="1"/>
        <v>Jun-2025</v>
      </c>
    </row>
    <row r="477" ht="15.75" customHeight="1">
      <c r="A477" s="4" t="s">
        <v>753</v>
      </c>
      <c r="B477" s="5">
        <v>45811.0</v>
      </c>
      <c r="C477" s="4" t="s">
        <v>13</v>
      </c>
      <c r="D477" s="4" t="s">
        <v>14</v>
      </c>
      <c r="E477" s="4" t="s">
        <v>15</v>
      </c>
      <c r="F477" s="4" t="s">
        <v>252</v>
      </c>
      <c r="G477" s="4">
        <v>4.0</v>
      </c>
      <c r="H477" s="6">
        <v>705.91</v>
      </c>
      <c r="I477" s="6">
        <v>2823.64</v>
      </c>
      <c r="J477" s="6">
        <v>1932.19</v>
      </c>
      <c r="K477" s="6">
        <v>891.45</v>
      </c>
      <c r="L477" s="4" t="str">
        <f t="shared" si="1"/>
        <v>Jun-2025</v>
      </c>
    </row>
    <row r="478" ht="15.75" customHeight="1">
      <c r="A478" s="4" t="s">
        <v>754</v>
      </c>
      <c r="B478" s="5">
        <v>45811.0</v>
      </c>
      <c r="C478" s="4" t="s">
        <v>140</v>
      </c>
      <c r="D478" s="4" t="s">
        <v>14</v>
      </c>
      <c r="E478" s="4" t="s">
        <v>25</v>
      </c>
      <c r="F478" s="4" t="s">
        <v>171</v>
      </c>
      <c r="G478" s="4">
        <v>6.0</v>
      </c>
      <c r="H478" s="6">
        <v>1109.69</v>
      </c>
      <c r="I478" s="6">
        <v>6658.14</v>
      </c>
      <c r="J478" s="6">
        <v>4918.97</v>
      </c>
      <c r="K478" s="6">
        <v>1739.17</v>
      </c>
      <c r="L478" s="4" t="str">
        <f t="shared" si="1"/>
        <v>Jun-2025</v>
      </c>
    </row>
    <row r="479" ht="15.75" customHeight="1">
      <c r="A479" s="4" t="s">
        <v>755</v>
      </c>
      <c r="B479" s="5">
        <v>45811.0</v>
      </c>
      <c r="C479" s="4" t="s">
        <v>47</v>
      </c>
      <c r="D479" s="4" t="s">
        <v>14</v>
      </c>
      <c r="E479" s="4" t="s">
        <v>20</v>
      </c>
      <c r="F479" s="4" t="s">
        <v>492</v>
      </c>
      <c r="G479" s="4">
        <v>7.0</v>
      </c>
      <c r="H479" s="6">
        <v>1265.83</v>
      </c>
      <c r="I479" s="6">
        <v>8860.81</v>
      </c>
      <c r="J479" s="6">
        <v>6803.66</v>
      </c>
      <c r="K479" s="6">
        <v>2057.15</v>
      </c>
      <c r="L479" s="4" t="str">
        <f t="shared" si="1"/>
        <v>Jun-2025</v>
      </c>
    </row>
    <row r="480" ht="15.75" customHeight="1">
      <c r="A480" s="4" t="s">
        <v>756</v>
      </c>
      <c r="B480" s="5">
        <v>45811.0</v>
      </c>
      <c r="C480" s="4" t="s">
        <v>50</v>
      </c>
      <c r="D480" s="4" t="s">
        <v>42</v>
      </c>
      <c r="E480" s="4" t="s">
        <v>29</v>
      </c>
      <c r="F480" s="4" t="s">
        <v>459</v>
      </c>
      <c r="G480" s="4">
        <v>4.0</v>
      </c>
      <c r="H480" s="6">
        <v>1921.38</v>
      </c>
      <c r="I480" s="6">
        <v>7685.52</v>
      </c>
      <c r="J480" s="6">
        <v>6851.39</v>
      </c>
      <c r="K480" s="6">
        <v>834.13</v>
      </c>
      <c r="L480" s="4" t="str">
        <f t="shared" si="1"/>
        <v>Jun-2025</v>
      </c>
    </row>
    <row r="481" ht="15.75" customHeight="1">
      <c r="A481" s="4" t="s">
        <v>757</v>
      </c>
      <c r="B481" s="5">
        <v>45812.0</v>
      </c>
      <c r="C481" s="4" t="s">
        <v>69</v>
      </c>
      <c r="D481" s="4" t="s">
        <v>19</v>
      </c>
      <c r="E481" s="4" t="s">
        <v>29</v>
      </c>
      <c r="F481" s="4" t="s">
        <v>413</v>
      </c>
      <c r="G481" s="4">
        <v>1.0</v>
      </c>
      <c r="H481" s="6">
        <v>9395.61</v>
      </c>
      <c r="I481" s="6">
        <v>9395.61</v>
      </c>
      <c r="J481" s="6">
        <v>8219.25</v>
      </c>
      <c r="K481" s="6">
        <v>1176.36</v>
      </c>
      <c r="L481" s="4" t="str">
        <f t="shared" si="1"/>
        <v>Jun-2025</v>
      </c>
    </row>
    <row r="482" ht="15.75" customHeight="1">
      <c r="A482" s="4" t="s">
        <v>758</v>
      </c>
      <c r="B482" s="5">
        <v>45812.0</v>
      </c>
      <c r="C482" s="4" t="s">
        <v>35</v>
      </c>
      <c r="D482" s="4" t="s">
        <v>14</v>
      </c>
      <c r="E482" s="4" t="s">
        <v>15</v>
      </c>
      <c r="F482" s="4" t="s">
        <v>256</v>
      </c>
      <c r="G482" s="4">
        <v>1.0</v>
      </c>
      <c r="H482" s="6">
        <v>187.68</v>
      </c>
      <c r="I482" s="6">
        <v>187.68</v>
      </c>
      <c r="J482" s="6">
        <v>128.34</v>
      </c>
      <c r="K482" s="6">
        <v>59.34</v>
      </c>
      <c r="L482" s="4" t="str">
        <f t="shared" si="1"/>
        <v>Jun-2025</v>
      </c>
    </row>
    <row r="483" ht="15.75" customHeight="1">
      <c r="A483" s="4" t="s">
        <v>759</v>
      </c>
      <c r="B483" s="5">
        <v>45813.0</v>
      </c>
      <c r="C483" s="4" t="s">
        <v>50</v>
      </c>
      <c r="D483" s="4" t="s">
        <v>42</v>
      </c>
      <c r="E483" s="4" t="s">
        <v>29</v>
      </c>
      <c r="F483" s="4" t="s">
        <v>611</v>
      </c>
      <c r="G483" s="4">
        <v>3.0</v>
      </c>
      <c r="H483" s="6">
        <v>2991.63</v>
      </c>
      <c r="I483" s="6">
        <v>8974.89</v>
      </c>
      <c r="J483" s="6">
        <v>6990.85</v>
      </c>
      <c r="K483" s="6">
        <v>1984.04</v>
      </c>
      <c r="L483" s="4" t="str">
        <f t="shared" si="1"/>
        <v>Jun-2025</v>
      </c>
    </row>
    <row r="484" ht="15.75" customHeight="1">
      <c r="A484" s="4" t="s">
        <v>760</v>
      </c>
      <c r="B484" s="5">
        <v>45813.0</v>
      </c>
      <c r="C484" s="4" t="s">
        <v>38</v>
      </c>
      <c r="D484" s="4" t="s">
        <v>19</v>
      </c>
      <c r="E484" s="4" t="s">
        <v>25</v>
      </c>
      <c r="F484" s="4" t="s">
        <v>131</v>
      </c>
      <c r="G484" s="4">
        <v>1.0</v>
      </c>
      <c r="H484" s="6">
        <v>28714.14</v>
      </c>
      <c r="I484" s="6">
        <v>28714.14</v>
      </c>
      <c r="J484" s="6">
        <v>26199.38</v>
      </c>
      <c r="K484" s="6">
        <v>2514.76</v>
      </c>
      <c r="L484" s="4" t="str">
        <f t="shared" si="1"/>
        <v>Jun-2025</v>
      </c>
    </row>
    <row r="485" ht="15.75" customHeight="1">
      <c r="A485" s="4" t="s">
        <v>761</v>
      </c>
      <c r="B485" s="5">
        <v>45814.0</v>
      </c>
      <c r="C485" s="4" t="s">
        <v>13</v>
      </c>
      <c r="D485" s="4" t="s">
        <v>14</v>
      </c>
      <c r="E485" s="4" t="s">
        <v>25</v>
      </c>
      <c r="F485" s="4" t="s">
        <v>169</v>
      </c>
      <c r="G485" s="4">
        <v>1.0</v>
      </c>
      <c r="H485" s="6">
        <v>127.48</v>
      </c>
      <c r="I485" s="6">
        <v>127.48</v>
      </c>
      <c r="J485" s="6">
        <v>95.03</v>
      </c>
      <c r="K485" s="6">
        <v>32.45</v>
      </c>
      <c r="L485" s="4" t="str">
        <f t="shared" si="1"/>
        <v>Jun-2025</v>
      </c>
    </row>
    <row r="486" ht="15.75" customHeight="1">
      <c r="A486" s="4" t="s">
        <v>762</v>
      </c>
      <c r="B486" s="5">
        <v>45814.0</v>
      </c>
      <c r="C486" s="4" t="s">
        <v>92</v>
      </c>
      <c r="D486" s="4" t="s">
        <v>14</v>
      </c>
      <c r="E486" s="4" t="s">
        <v>29</v>
      </c>
      <c r="F486" s="4" t="s">
        <v>719</v>
      </c>
      <c r="G486" s="4">
        <v>2.0</v>
      </c>
      <c r="H486" s="6">
        <v>883.56</v>
      </c>
      <c r="I486" s="6">
        <v>1767.12</v>
      </c>
      <c r="J486" s="6">
        <v>1498.41</v>
      </c>
      <c r="K486" s="6">
        <v>268.71</v>
      </c>
      <c r="L486" s="4" t="str">
        <f t="shared" si="1"/>
        <v>Jun-2025</v>
      </c>
    </row>
    <row r="487" ht="15.75" customHeight="1">
      <c r="A487" s="4" t="s">
        <v>763</v>
      </c>
      <c r="B487" s="5">
        <v>45814.0</v>
      </c>
      <c r="C487" s="4" t="s">
        <v>92</v>
      </c>
      <c r="D487" s="4" t="s">
        <v>14</v>
      </c>
      <c r="E487" s="4" t="s">
        <v>29</v>
      </c>
      <c r="F487" s="4" t="s">
        <v>82</v>
      </c>
      <c r="G487" s="4">
        <v>4.0</v>
      </c>
      <c r="H487" s="6">
        <v>481.07</v>
      </c>
      <c r="I487" s="6">
        <v>1924.28</v>
      </c>
      <c r="J487" s="6">
        <v>1431.63</v>
      </c>
      <c r="K487" s="6">
        <v>492.65</v>
      </c>
      <c r="L487" s="4" t="str">
        <f t="shared" si="1"/>
        <v>Jun-2025</v>
      </c>
    </row>
    <row r="488" ht="15.75" customHeight="1">
      <c r="A488" s="4" t="s">
        <v>764</v>
      </c>
      <c r="B488" s="5">
        <v>45814.0</v>
      </c>
      <c r="C488" s="4" t="s">
        <v>32</v>
      </c>
      <c r="D488" s="4" t="s">
        <v>19</v>
      </c>
      <c r="E488" s="4" t="s">
        <v>25</v>
      </c>
      <c r="F488" s="4" t="s">
        <v>765</v>
      </c>
      <c r="G488" s="4">
        <v>3.0</v>
      </c>
      <c r="H488" s="6">
        <v>53953.5</v>
      </c>
      <c r="I488" s="6">
        <v>161860.5</v>
      </c>
      <c r="J488" s="6">
        <v>144555.83</v>
      </c>
      <c r="K488" s="6">
        <v>17304.67</v>
      </c>
      <c r="L488" s="4" t="str">
        <f t="shared" si="1"/>
        <v>Jun-2025</v>
      </c>
    </row>
    <row r="489" ht="15.75" customHeight="1">
      <c r="A489" s="4" t="s">
        <v>766</v>
      </c>
      <c r="B489" s="5">
        <v>45814.0</v>
      </c>
      <c r="C489" s="4" t="s">
        <v>32</v>
      </c>
      <c r="D489" s="4" t="s">
        <v>19</v>
      </c>
      <c r="E489" s="4" t="s">
        <v>25</v>
      </c>
      <c r="F489" s="4" t="s">
        <v>207</v>
      </c>
      <c r="G489" s="4">
        <v>3.0</v>
      </c>
      <c r="H489" s="6">
        <v>20484.15</v>
      </c>
      <c r="I489" s="6">
        <v>61452.45</v>
      </c>
      <c r="J489" s="6">
        <v>49870.24</v>
      </c>
      <c r="K489" s="6">
        <v>11582.21</v>
      </c>
      <c r="L489" s="4" t="str">
        <f t="shared" si="1"/>
        <v>Jun-2025</v>
      </c>
    </row>
    <row r="490" ht="15.75" customHeight="1">
      <c r="A490" s="4" t="s">
        <v>767</v>
      </c>
      <c r="B490" s="5">
        <v>45815.0</v>
      </c>
      <c r="C490" s="4" t="s">
        <v>75</v>
      </c>
      <c r="D490" s="4" t="s">
        <v>24</v>
      </c>
      <c r="E490" s="4" t="s">
        <v>25</v>
      </c>
      <c r="F490" s="4" t="s">
        <v>323</v>
      </c>
      <c r="G490" s="4">
        <v>3.0</v>
      </c>
      <c r="H490" s="6">
        <v>17921.07</v>
      </c>
      <c r="I490" s="6">
        <v>53763.21</v>
      </c>
      <c r="J490" s="6">
        <v>42826.09</v>
      </c>
      <c r="K490" s="6">
        <v>10937.12</v>
      </c>
      <c r="L490" s="4" t="str">
        <f t="shared" si="1"/>
        <v>Jun-2025</v>
      </c>
    </row>
    <row r="491" ht="15.75" customHeight="1">
      <c r="A491" s="4" t="s">
        <v>768</v>
      </c>
      <c r="B491" s="5">
        <v>45815.0</v>
      </c>
      <c r="C491" s="4" t="s">
        <v>18</v>
      </c>
      <c r="D491" s="4" t="s">
        <v>19</v>
      </c>
      <c r="E491" s="4" t="s">
        <v>29</v>
      </c>
      <c r="F491" s="4" t="s">
        <v>171</v>
      </c>
      <c r="G491" s="4">
        <v>4.0</v>
      </c>
      <c r="H491" s="6">
        <v>12144.22</v>
      </c>
      <c r="I491" s="6">
        <v>48576.88</v>
      </c>
      <c r="J491" s="6">
        <v>44305.02</v>
      </c>
      <c r="K491" s="6">
        <v>4271.86</v>
      </c>
      <c r="L491" s="4" t="str">
        <f t="shared" si="1"/>
        <v>Jun-2025</v>
      </c>
    </row>
    <row r="492" ht="15.75" customHeight="1">
      <c r="A492" s="4" t="s">
        <v>769</v>
      </c>
      <c r="B492" s="5">
        <v>45815.0</v>
      </c>
      <c r="C492" s="4" t="s">
        <v>18</v>
      </c>
      <c r="D492" s="4" t="s">
        <v>19</v>
      </c>
      <c r="E492" s="4" t="s">
        <v>15</v>
      </c>
      <c r="F492" s="4" t="s">
        <v>518</v>
      </c>
      <c r="G492" s="4">
        <v>7.0</v>
      </c>
      <c r="H492" s="6">
        <v>2682.56</v>
      </c>
      <c r="I492" s="6">
        <v>18777.92</v>
      </c>
      <c r="J492" s="6">
        <v>15585.33</v>
      </c>
      <c r="K492" s="6">
        <v>3192.59</v>
      </c>
      <c r="L492" s="4" t="str">
        <f t="shared" si="1"/>
        <v>Jun-2025</v>
      </c>
    </row>
    <row r="493" ht="15.75" customHeight="1">
      <c r="A493" s="4" t="s">
        <v>770</v>
      </c>
      <c r="B493" s="5">
        <v>45815.0</v>
      </c>
      <c r="C493" s="4" t="s">
        <v>18</v>
      </c>
      <c r="D493" s="4" t="s">
        <v>19</v>
      </c>
      <c r="E493" s="4" t="s">
        <v>25</v>
      </c>
      <c r="F493" s="4" t="s">
        <v>771</v>
      </c>
      <c r="G493" s="4">
        <v>4.0</v>
      </c>
      <c r="H493" s="6">
        <v>26589.81</v>
      </c>
      <c r="I493" s="6">
        <v>106359.24</v>
      </c>
      <c r="J493" s="6">
        <v>89364.16</v>
      </c>
      <c r="K493" s="6">
        <v>16995.08</v>
      </c>
      <c r="L493" s="4" t="str">
        <f t="shared" si="1"/>
        <v>Jun-2025</v>
      </c>
    </row>
    <row r="494" ht="15.75" customHeight="1">
      <c r="A494" s="4" t="s">
        <v>772</v>
      </c>
      <c r="B494" s="5">
        <v>45815.0</v>
      </c>
      <c r="C494" s="4" t="s">
        <v>109</v>
      </c>
      <c r="D494" s="4" t="s">
        <v>42</v>
      </c>
      <c r="E494" s="4" t="s">
        <v>29</v>
      </c>
      <c r="F494" s="4" t="s">
        <v>123</v>
      </c>
      <c r="G494" s="4">
        <v>2.0</v>
      </c>
      <c r="H494" s="6">
        <v>4673.18</v>
      </c>
      <c r="I494" s="6">
        <v>9346.36</v>
      </c>
      <c r="J494" s="6">
        <v>7566.33</v>
      </c>
      <c r="K494" s="6">
        <v>1780.03</v>
      </c>
      <c r="L494" s="4" t="str">
        <f t="shared" si="1"/>
        <v>Jun-2025</v>
      </c>
    </row>
    <row r="495" ht="15.75" customHeight="1">
      <c r="A495" s="4" t="s">
        <v>773</v>
      </c>
      <c r="B495" s="5">
        <v>45815.0</v>
      </c>
      <c r="C495" s="4" t="s">
        <v>38</v>
      </c>
      <c r="D495" s="4" t="s">
        <v>19</v>
      </c>
      <c r="E495" s="4" t="s">
        <v>25</v>
      </c>
      <c r="F495" s="4" t="s">
        <v>121</v>
      </c>
      <c r="G495" s="4">
        <v>3.0</v>
      </c>
      <c r="H495" s="6">
        <v>51510.84</v>
      </c>
      <c r="I495" s="6">
        <v>154532.52</v>
      </c>
      <c r="J495" s="6">
        <v>129488.17</v>
      </c>
      <c r="K495" s="6">
        <v>25044.35</v>
      </c>
      <c r="L495" s="4" t="str">
        <f t="shared" si="1"/>
        <v>Jun-2025</v>
      </c>
    </row>
    <row r="496" ht="15.75" customHeight="1">
      <c r="A496" s="4" t="s">
        <v>774</v>
      </c>
      <c r="B496" s="5">
        <v>45816.0</v>
      </c>
      <c r="C496" s="4" t="s">
        <v>47</v>
      </c>
      <c r="D496" s="4" t="s">
        <v>14</v>
      </c>
      <c r="E496" s="4" t="s">
        <v>25</v>
      </c>
      <c r="F496" s="4" t="s">
        <v>217</v>
      </c>
      <c r="G496" s="4">
        <v>4.0</v>
      </c>
      <c r="H496" s="6">
        <v>224.82</v>
      </c>
      <c r="I496" s="6">
        <v>899.28</v>
      </c>
      <c r="J496" s="6">
        <v>712.43</v>
      </c>
      <c r="K496" s="6">
        <v>186.85</v>
      </c>
      <c r="L496" s="4" t="str">
        <f t="shared" si="1"/>
        <v>Jun-2025</v>
      </c>
    </row>
    <row r="497" ht="15.75" customHeight="1">
      <c r="A497" s="4" t="s">
        <v>775</v>
      </c>
      <c r="B497" s="5">
        <v>45816.0</v>
      </c>
      <c r="C497" s="4" t="s">
        <v>41</v>
      </c>
      <c r="D497" s="4" t="s">
        <v>42</v>
      </c>
      <c r="E497" s="4" t="s">
        <v>29</v>
      </c>
      <c r="F497" s="4" t="s">
        <v>153</v>
      </c>
      <c r="G497" s="4">
        <v>6.0</v>
      </c>
      <c r="H497" s="6">
        <v>4257.58</v>
      </c>
      <c r="I497" s="6">
        <v>25545.48</v>
      </c>
      <c r="J497" s="6">
        <v>22126.23</v>
      </c>
      <c r="K497" s="6">
        <v>3419.25</v>
      </c>
      <c r="L497" s="4" t="str">
        <f t="shared" si="1"/>
        <v>Jun-2025</v>
      </c>
    </row>
    <row r="498" ht="15.75" customHeight="1">
      <c r="A498" s="4" t="s">
        <v>776</v>
      </c>
      <c r="B498" s="5">
        <v>45816.0</v>
      </c>
      <c r="C498" s="4" t="s">
        <v>140</v>
      </c>
      <c r="D498" s="4" t="s">
        <v>14</v>
      </c>
      <c r="E498" s="4" t="s">
        <v>29</v>
      </c>
      <c r="F498" s="4" t="s">
        <v>80</v>
      </c>
      <c r="G498" s="4">
        <v>4.0</v>
      </c>
      <c r="H498" s="6">
        <v>993.24</v>
      </c>
      <c r="I498" s="6">
        <v>3972.96</v>
      </c>
      <c r="J498" s="6">
        <v>3081.07</v>
      </c>
      <c r="K498" s="6">
        <v>891.89</v>
      </c>
      <c r="L498" s="4" t="str">
        <f t="shared" si="1"/>
        <v>Jun-2025</v>
      </c>
    </row>
    <row r="499" ht="15.75" customHeight="1">
      <c r="A499" s="4" t="s">
        <v>777</v>
      </c>
      <c r="B499" s="5">
        <v>45816.0</v>
      </c>
      <c r="C499" s="4" t="s">
        <v>41</v>
      </c>
      <c r="D499" s="4" t="s">
        <v>42</v>
      </c>
      <c r="E499" s="4" t="s">
        <v>20</v>
      </c>
      <c r="F499" s="4" t="s">
        <v>375</v>
      </c>
      <c r="G499" s="4">
        <v>1.0</v>
      </c>
      <c r="H499" s="6">
        <v>1163.03</v>
      </c>
      <c r="I499" s="6">
        <v>1163.03</v>
      </c>
      <c r="J499" s="6">
        <v>1020.16</v>
      </c>
      <c r="K499" s="6">
        <v>142.87</v>
      </c>
      <c r="L499" s="4" t="str">
        <f t="shared" si="1"/>
        <v>Jun-2025</v>
      </c>
    </row>
    <row r="500" ht="15.75" customHeight="1">
      <c r="A500" s="4" t="s">
        <v>778</v>
      </c>
      <c r="B500" s="5">
        <v>45816.0</v>
      </c>
      <c r="C500" s="4" t="s">
        <v>38</v>
      </c>
      <c r="D500" s="4" t="s">
        <v>19</v>
      </c>
      <c r="E500" s="4" t="s">
        <v>29</v>
      </c>
      <c r="F500" s="4" t="s">
        <v>51</v>
      </c>
      <c r="G500" s="4">
        <v>5.0</v>
      </c>
      <c r="H500" s="6">
        <v>62868.19</v>
      </c>
      <c r="I500" s="6">
        <v>314340.95</v>
      </c>
      <c r="J500" s="6">
        <v>287299.54</v>
      </c>
      <c r="K500" s="6">
        <v>27041.41</v>
      </c>
      <c r="L500" s="4" t="str">
        <f t="shared" si="1"/>
        <v>Jun-2025</v>
      </c>
    </row>
    <row r="501" ht="15.75" customHeight="1">
      <c r="A501" s="4" t="s">
        <v>779</v>
      </c>
      <c r="B501" s="5">
        <v>45817.0</v>
      </c>
      <c r="C501" s="4" t="s">
        <v>109</v>
      </c>
      <c r="D501" s="4" t="s">
        <v>42</v>
      </c>
      <c r="E501" s="4" t="s">
        <v>25</v>
      </c>
      <c r="F501" s="4" t="s">
        <v>780</v>
      </c>
      <c r="G501" s="4">
        <v>7.0</v>
      </c>
      <c r="H501" s="6">
        <v>2940.21</v>
      </c>
      <c r="I501" s="6">
        <v>20581.47</v>
      </c>
      <c r="J501" s="6">
        <v>17958.86</v>
      </c>
      <c r="K501" s="6">
        <v>2622.61</v>
      </c>
      <c r="L501" s="4" t="str">
        <f t="shared" si="1"/>
        <v>Jun-2025</v>
      </c>
    </row>
    <row r="502" ht="15.75" customHeight="1">
      <c r="A502" s="4" t="s">
        <v>781</v>
      </c>
      <c r="B502" s="5">
        <v>45817.0</v>
      </c>
      <c r="C502" s="4" t="s">
        <v>18</v>
      </c>
      <c r="D502" s="4" t="s">
        <v>19</v>
      </c>
      <c r="E502" s="4" t="s">
        <v>25</v>
      </c>
      <c r="F502" s="4" t="s">
        <v>143</v>
      </c>
      <c r="G502" s="4">
        <v>6.0</v>
      </c>
      <c r="H502" s="6">
        <v>68225.64</v>
      </c>
      <c r="I502" s="6">
        <v>409353.84</v>
      </c>
      <c r="J502" s="6">
        <v>376550.51</v>
      </c>
      <c r="K502" s="6">
        <v>32803.33</v>
      </c>
      <c r="L502" s="4" t="str">
        <f t="shared" si="1"/>
        <v>Jun-2025</v>
      </c>
    </row>
    <row r="503" ht="15.75" customHeight="1">
      <c r="A503" s="4" t="s">
        <v>782</v>
      </c>
      <c r="B503" s="5">
        <v>45817.0</v>
      </c>
      <c r="C503" s="4" t="s">
        <v>23</v>
      </c>
      <c r="D503" s="4" t="s">
        <v>24</v>
      </c>
      <c r="E503" s="4" t="s">
        <v>20</v>
      </c>
      <c r="F503" s="4" t="s">
        <v>475</v>
      </c>
      <c r="G503" s="4">
        <v>2.0</v>
      </c>
      <c r="H503" s="6">
        <v>4572.59</v>
      </c>
      <c r="I503" s="6">
        <v>9145.18</v>
      </c>
      <c r="J503" s="6">
        <v>7542.82</v>
      </c>
      <c r="K503" s="6">
        <v>1602.36</v>
      </c>
      <c r="L503" s="4" t="str">
        <f t="shared" si="1"/>
        <v>Jun-2025</v>
      </c>
    </row>
    <row r="504" ht="15.75" customHeight="1">
      <c r="A504" s="4" t="s">
        <v>783</v>
      </c>
      <c r="B504" s="5">
        <v>45817.0</v>
      </c>
      <c r="C504" s="4" t="s">
        <v>61</v>
      </c>
      <c r="D504" s="4" t="s">
        <v>19</v>
      </c>
      <c r="E504" s="4" t="s">
        <v>25</v>
      </c>
      <c r="F504" s="4" t="s">
        <v>223</v>
      </c>
      <c r="G504" s="4">
        <v>3.0</v>
      </c>
      <c r="H504" s="6">
        <v>3699.64</v>
      </c>
      <c r="I504" s="6">
        <v>11098.92</v>
      </c>
      <c r="J504" s="6">
        <v>9360.55</v>
      </c>
      <c r="K504" s="6">
        <v>1738.37</v>
      </c>
      <c r="L504" s="4" t="str">
        <f t="shared" si="1"/>
        <v>Jun-2025</v>
      </c>
    </row>
    <row r="505" ht="15.75" customHeight="1">
      <c r="A505" s="4" t="s">
        <v>784</v>
      </c>
      <c r="B505" s="5">
        <v>45818.0</v>
      </c>
      <c r="C505" s="4" t="s">
        <v>72</v>
      </c>
      <c r="D505" s="4" t="s">
        <v>24</v>
      </c>
      <c r="E505" s="4" t="s">
        <v>29</v>
      </c>
      <c r="F505" s="4" t="s">
        <v>167</v>
      </c>
      <c r="G505" s="4">
        <v>4.0</v>
      </c>
      <c r="H505" s="6">
        <v>4581.59</v>
      </c>
      <c r="I505" s="6">
        <v>18326.36</v>
      </c>
      <c r="J505" s="6">
        <v>13307.57</v>
      </c>
      <c r="K505" s="6">
        <v>5018.79</v>
      </c>
      <c r="L505" s="4" t="str">
        <f t="shared" si="1"/>
        <v>Jun-2025</v>
      </c>
    </row>
    <row r="506" ht="15.75" customHeight="1">
      <c r="A506" s="4" t="s">
        <v>785</v>
      </c>
      <c r="B506" s="5">
        <v>45818.0</v>
      </c>
      <c r="C506" s="4" t="s">
        <v>47</v>
      </c>
      <c r="D506" s="4" t="s">
        <v>14</v>
      </c>
      <c r="E506" s="4" t="s">
        <v>29</v>
      </c>
      <c r="F506" s="4" t="s">
        <v>171</v>
      </c>
      <c r="G506" s="4">
        <v>6.0</v>
      </c>
      <c r="H506" s="6">
        <v>497.28</v>
      </c>
      <c r="I506" s="6">
        <v>2983.68</v>
      </c>
      <c r="J506" s="6">
        <v>2181.66</v>
      </c>
      <c r="K506" s="6">
        <v>802.02</v>
      </c>
      <c r="L506" s="4" t="str">
        <f t="shared" si="1"/>
        <v>Jun-2025</v>
      </c>
    </row>
    <row r="507" ht="15.75" customHeight="1">
      <c r="A507" s="4" t="s">
        <v>786</v>
      </c>
      <c r="B507" s="5">
        <v>45819.0</v>
      </c>
      <c r="C507" s="4" t="s">
        <v>50</v>
      </c>
      <c r="D507" s="4" t="s">
        <v>42</v>
      </c>
      <c r="E507" s="4" t="s">
        <v>15</v>
      </c>
      <c r="F507" s="4" t="s">
        <v>328</v>
      </c>
      <c r="G507" s="4">
        <v>4.0</v>
      </c>
      <c r="H507" s="6">
        <v>958.84</v>
      </c>
      <c r="I507" s="6">
        <v>3835.36</v>
      </c>
      <c r="J507" s="6">
        <v>2916.49</v>
      </c>
      <c r="K507" s="6">
        <v>918.87</v>
      </c>
      <c r="L507" s="4" t="str">
        <f t="shared" si="1"/>
        <v>Jun-2025</v>
      </c>
    </row>
    <row r="508" ht="15.75" customHeight="1">
      <c r="A508" s="4" t="s">
        <v>787</v>
      </c>
      <c r="B508" s="5">
        <v>45819.0</v>
      </c>
      <c r="C508" s="4" t="s">
        <v>61</v>
      </c>
      <c r="D508" s="4" t="s">
        <v>19</v>
      </c>
      <c r="E508" s="4" t="s">
        <v>29</v>
      </c>
      <c r="F508" s="4" t="s">
        <v>373</v>
      </c>
      <c r="G508" s="4">
        <v>6.0</v>
      </c>
      <c r="H508" s="6">
        <v>4526.77</v>
      </c>
      <c r="I508" s="6">
        <v>27160.62</v>
      </c>
      <c r="J508" s="6">
        <v>24750.16</v>
      </c>
      <c r="K508" s="6">
        <v>2410.46</v>
      </c>
      <c r="L508" s="4" t="str">
        <f t="shared" si="1"/>
        <v>Jun-2025</v>
      </c>
    </row>
    <row r="509" ht="15.75" customHeight="1">
      <c r="A509" s="4" t="s">
        <v>788</v>
      </c>
      <c r="B509" s="5">
        <v>45819.0</v>
      </c>
      <c r="C509" s="4" t="s">
        <v>47</v>
      </c>
      <c r="D509" s="4" t="s">
        <v>14</v>
      </c>
      <c r="E509" s="4" t="s">
        <v>25</v>
      </c>
      <c r="F509" s="4" t="s">
        <v>789</v>
      </c>
      <c r="G509" s="4">
        <v>2.0</v>
      </c>
      <c r="H509" s="6">
        <v>240.55</v>
      </c>
      <c r="I509" s="6">
        <v>481.1</v>
      </c>
      <c r="J509" s="6">
        <v>350.2</v>
      </c>
      <c r="K509" s="6">
        <v>130.9</v>
      </c>
      <c r="L509" s="4" t="str">
        <f t="shared" si="1"/>
        <v>Jun-2025</v>
      </c>
    </row>
    <row r="510" ht="15.75" customHeight="1">
      <c r="A510" s="4" t="s">
        <v>790</v>
      </c>
      <c r="B510" s="5">
        <v>45820.0</v>
      </c>
      <c r="C510" s="4" t="s">
        <v>61</v>
      </c>
      <c r="D510" s="4" t="s">
        <v>19</v>
      </c>
      <c r="E510" s="4" t="s">
        <v>15</v>
      </c>
      <c r="F510" s="4" t="s">
        <v>541</v>
      </c>
      <c r="G510" s="4">
        <v>6.0</v>
      </c>
      <c r="H510" s="6">
        <v>38319.7</v>
      </c>
      <c r="I510" s="6">
        <v>229918.2</v>
      </c>
      <c r="J510" s="6">
        <v>209396.32</v>
      </c>
      <c r="K510" s="6">
        <v>20521.88</v>
      </c>
      <c r="L510" s="4" t="str">
        <f t="shared" si="1"/>
        <v>Jun-2025</v>
      </c>
    </row>
    <row r="511" ht="15.75" customHeight="1">
      <c r="A511" s="4" t="s">
        <v>791</v>
      </c>
      <c r="B511" s="5">
        <v>45820.0</v>
      </c>
      <c r="C511" s="4" t="s">
        <v>109</v>
      </c>
      <c r="D511" s="4" t="s">
        <v>42</v>
      </c>
      <c r="E511" s="4" t="s">
        <v>29</v>
      </c>
      <c r="F511" s="4" t="s">
        <v>291</v>
      </c>
      <c r="G511" s="4">
        <v>6.0</v>
      </c>
      <c r="H511" s="6">
        <v>1321.0</v>
      </c>
      <c r="I511" s="6">
        <v>7926.0</v>
      </c>
      <c r="J511" s="6">
        <v>6314.99</v>
      </c>
      <c r="K511" s="6">
        <v>1611.01</v>
      </c>
      <c r="L511" s="4" t="str">
        <f t="shared" si="1"/>
        <v>Jun-2025</v>
      </c>
    </row>
    <row r="512" ht="15.75" customHeight="1">
      <c r="A512" s="4" t="s">
        <v>792</v>
      </c>
      <c r="B512" s="5">
        <v>45820.0</v>
      </c>
      <c r="C512" s="4" t="s">
        <v>69</v>
      </c>
      <c r="D512" s="4" t="s">
        <v>19</v>
      </c>
      <c r="E512" s="4" t="s">
        <v>20</v>
      </c>
      <c r="F512" s="4" t="s">
        <v>371</v>
      </c>
      <c r="G512" s="4">
        <v>7.0</v>
      </c>
      <c r="H512" s="6">
        <v>43622.5</v>
      </c>
      <c r="I512" s="6">
        <v>305357.5</v>
      </c>
      <c r="J512" s="6">
        <v>267842.95</v>
      </c>
      <c r="K512" s="6">
        <v>37514.55</v>
      </c>
      <c r="L512" s="4" t="str">
        <f t="shared" si="1"/>
        <v>Jun-2025</v>
      </c>
    </row>
    <row r="513" ht="15.75" customHeight="1">
      <c r="A513" s="4" t="s">
        <v>793</v>
      </c>
      <c r="B513" s="5">
        <v>45820.0</v>
      </c>
      <c r="C513" s="4" t="s">
        <v>160</v>
      </c>
      <c r="D513" s="4" t="s">
        <v>42</v>
      </c>
      <c r="E513" s="4" t="s">
        <v>20</v>
      </c>
      <c r="F513" s="4" t="s">
        <v>418</v>
      </c>
      <c r="G513" s="4">
        <v>1.0</v>
      </c>
      <c r="H513" s="6">
        <v>3750.42</v>
      </c>
      <c r="I513" s="6">
        <v>3750.42</v>
      </c>
      <c r="J513" s="6">
        <v>3050.64</v>
      </c>
      <c r="K513" s="6">
        <v>699.78</v>
      </c>
      <c r="L513" s="4" t="str">
        <f t="shared" si="1"/>
        <v>Jun-2025</v>
      </c>
    </row>
    <row r="514" ht="15.75" customHeight="1">
      <c r="A514" s="4" t="s">
        <v>794</v>
      </c>
      <c r="B514" s="5">
        <v>45821.0</v>
      </c>
      <c r="C514" s="4" t="s">
        <v>13</v>
      </c>
      <c r="D514" s="4" t="s">
        <v>14</v>
      </c>
      <c r="E514" s="4" t="s">
        <v>15</v>
      </c>
      <c r="F514" s="4" t="s">
        <v>795</v>
      </c>
      <c r="G514" s="4">
        <v>6.0</v>
      </c>
      <c r="H514" s="6">
        <v>478.94</v>
      </c>
      <c r="I514" s="6">
        <v>2873.64</v>
      </c>
      <c r="J514" s="6">
        <v>2336.15</v>
      </c>
      <c r="K514" s="6">
        <v>537.49</v>
      </c>
      <c r="L514" s="4" t="str">
        <f t="shared" si="1"/>
        <v>Jun-2025</v>
      </c>
    </row>
    <row r="515" ht="15.75" customHeight="1">
      <c r="A515" s="4" t="s">
        <v>796</v>
      </c>
      <c r="B515" s="5">
        <v>45821.0</v>
      </c>
      <c r="C515" s="4" t="s">
        <v>109</v>
      </c>
      <c r="D515" s="4" t="s">
        <v>42</v>
      </c>
      <c r="E515" s="4" t="s">
        <v>25</v>
      </c>
      <c r="F515" s="4" t="s">
        <v>661</v>
      </c>
      <c r="G515" s="4">
        <v>6.0</v>
      </c>
      <c r="H515" s="6">
        <v>914.18</v>
      </c>
      <c r="I515" s="6">
        <v>5485.08</v>
      </c>
      <c r="J515" s="6">
        <v>4241.38</v>
      </c>
      <c r="K515" s="6">
        <v>1243.7</v>
      </c>
      <c r="L515" s="4" t="str">
        <f t="shared" si="1"/>
        <v>Jun-2025</v>
      </c>
    </row>
    <row r="516" ht="15.75" customHeight="1">
      <c r="A516" s="4" t="s">
        <v>797</v>
      </c>
      <c r="B516" s="5">
        <v>45821.0</v>
      </c>
      <c r="C516" s="4" t="s">
        <v>32</v>
      </c>
      <c r="D516" s="4" t="s">
        <v>19</v>
      </c>
      <c r="E516" s="4" t="s">
        <v>25</v>
      </c>
      <c r="F516" s="4" t="s">
        <v>141</v>
      </c>
      <c r="G516" s="4">
        <v>7.0</v>
      </c>
      <c r="H516" s="6">
        <v>67742.82</v>
      </c>
      <c r="I516" s="6">
        <v>474199.74</v>
      </c>
      <c r="J516" s="6">
        <v>435586.35</v>
      </c>
      <c r="K516" s="6">
        <v>38613.39</v>
      </c>
      <c r="L516" s="4" t="str">
        <f t="shared" si="1"/>
        <v>Jun-2025</v>
      </c>
    </row>
    <row r="517" ht="15.75" customHeight="1">
      <c r="A517" s="4" t="s">
        <v>798</v>
      </c>
      <c r="B517" s="5">
        <v>45821.0</v>
      </c>
      <c r="C517" s="4" t="s">
        <v>140</v>
      </c>
      <c r="D517" s="4" t="s">
        <v>14</v>
      </c>
      <c r="E517" s="2" t="s">
        <v>258</v>
      </c>
      <c r="F517" s="4" t="s">
        <v>131</v>
      </c>
      <c r="G517" s="4">
        <v>6.0</v>
      </c>
      <c r="H517" s="6">
        <v>116.88</v>
      </c>
      <c r="I517" s="6">
        <v>701.28</v>
      </c>
      <c r="J517" s="6">
        <v>497.79</v>
      </c>
      <c r="K517" s="6">
        <v>203.49</v>
      </c>
      <c r="L517" s="4" t="str">
        <f t="shared" si="1"/>
        <v>Jun-2025</v>
      </c>
    </row>
    <row r="518" ht="15.75" customHeight="1">
      <c r="A518" s="4" t="s">
        <v>799</v>
      </c>
      <c r="B518" s="5">
        <v>45821.0</v>
      </c>
      <c r="C518" s="4" t="s">
        <v>180</v>
      </c>
      <c r="D518" s="4" t="s">
        <v>19</v>
      </c>
      <c r="E518" s="4" t="s">
        <v>20</v>
      </c>
      <c r="F518" s="4" t="s">
        <v>452</v>
      </c>
      <c r="G518" s="4">
        <v>2.0</v>
      </c>
      <c r="H518" s="6">
        <v>52590.89</v>
      </c>
      <c r="I518" s="6">
        <v>105181.78</v>
      </c>
      <c r="J518" s="6">
        <v>86792.72</v>
      </c>
      <c r="K518" s="6">
        <v>18389.06</v>
      </c>
      <c r="L518" s="4" t="str">
        <f t="shared" si="1"/>
        <v>Jun-2025</v>
      </c>
    </row>
    <row r="519" ht="15.75" customHeight="1">
      <c r="A519" s="4" t="s">
        <v>800</v>
      </c>
      <c r="B519" s="5">
        <v>45822.0</v>
      </c>
      <c r="C519" s="4" t="s">
        <v>69</v>
      </c>
      <c r="D519" s="4" t="s">
        <v>19</v>
      </c>
      <c r="E519" s="4" t="s">
        <v>25</v>
      </c>
      <c r="F519" s="4" t="s">
        <v>76</v>
      </c>
      <c r="G519" s="4">
        <v>1.0</v>
      </c>
      <c r="H519" s="6">
        <v>72353.86</v>
      </c>
      <c r="I519" s="6">
        <v>72353.86</v>
      </c>
      <c r="J519" s="6">
        <v>63057.14</v>
      </c>
      <c r="K519" s="6">
        <v>9296.72</v>
      </c>
      <c r="L519" s="4" t="str">
        <f t="shared" si="1"/>
        <v>Jun-2025</v>
      </c>
    </row>
    <row r="520" ht="15.75" customHeight="1">
      <c r="A520" s="4" t="s">
        <v>801</v>
      </c>
      <c r="B520" s="5">
        <v>45822.0</v>
      </c>
      <c r="C520" s="4" t="s">
        <v>160</v>
      </c>
      <c r="D520" s="4" t="s">
        <v>42</v>
      </c>
      <c r="E520" s="4" t="s">
        <v>25</v>
      </c>
      <c r="F520" s="4" t="s">
        <v>771</v>
      </c>
      <c r="G520" s="4">
        <v>6.0</v>
      </c>
      <c r="H520" s="6">
        <v>2575.16</v>
      </c>
      <c r="I520" s="6">
        <v>15450.96</v>
      </c>
      <c r="J520" s="6">
        <v>13571.11</v>
      </c>
      <c r="K520" s="6">
        <v>1879.85</v>
      </c>
      <c r="L520" s="4" t="str">
        <f t="shared" si="1"/>
        <v>Jun-2025</v>
      </c>
    </row>
    <row r="521" ht="15.75" customHeight="1">
      <c r="A521" s="4" t="s">
        <v>802</v>
      </c>
      <c r="B521" s="5">
        <v>45822.0</v>
      </c>
      <c r="C521" s="4" t="s">
        <v>18</v>
      </c>
      <c r="D521" s="4" t="s">
        <v>19</v>
      </c>
      <c r="E521" s="4" t="s">
        <v>15</v>
      </c>
      <c r="F521" s="4" t="s">
        <v>541</v>
      </c>
      <c r="G521" s="4">
        <v>4.0</v>
      </c>
      <c r="H521" s="6">
        <v>2444.02</v>
      </c>
      <c r="I521" s="6">
        <v>9776.08</v>
      </c>
      <c r="J521" s="6">
        <v>8405.42</v>
      </c>
      <c r="K521" s="6">
        <v>1370.66</v>
      </c>
      <c r="L521" s="4" t="str">
        <f t="shared" si="1"/>
        <v>Jun-2025</v>
      </c>
    </row>
    <row r="522" ht="15.75" customHeight="1">
      <c r="A522" s="4" t="s">
        <v>803</v>
      </c>
      <c r="B522" s="5">
        <v>45822.0</v>
      </c>
      <c r="C522" s="4" t="s">
        <v>41</v>
      </c>
      <c r="D522" s="4" t="s">
        <v>42</v>
      </c>
      <c r="E522" s="4" t="s">
        <v>20</v>
      </c>
      <c r="F522" s="4" t="s">
        <v>33</v>
      </c>
      <c r="G522" s="4">
        <v>6.0</v>
      </c>
      <c r="H522" s="6">
        <v>1657.86</v>
      </c>
      <c r="I522" s="6">
        <v>9947.16</v>
      </c>
      <c r="J522" s="6">
        <v>8292.72</v>
      </c>
      <c r="K522" s="6">
        <v>1654.44</v>
      </c>
      <c r="L522" s="4" t="str">
        <f t="shared" si="1"/>
        <v>Jun-2025</v>
      </c>
    </row>
    <row r="523" ht="15.75" customHeight="1">
      <c r="A523" s="4" t="s">
        <v>804</v>
      </c>
      <c r="B523" s="5">
        <v>45822.0</v>
      </c>
      <c r="C523" s="4" t="s">
        <v>160</v>
      </c>
      <c r="D523" s="4" t="s">
        <v>42</v>
      </c>
      <c r="E523" s="4" t="s">
        <v>29</v>
      </c>
      <c r="F523" s="4" t="s">
        <v>546</v>
      </c>
      <c r="G523" s="4">
        <v>2.0</v>
      </c>
      <c r="H523" s="6">
        <v>2529.66</v>
      </c>
      <c r="I523" s="6">
        <v>5059.32</v>
      </c>
      <c r="J523" s="6">
        <v>4284.81</v>
      </c>
      <c r="K523" s="6">
        <v>774.51</v>
      </c>
      <c r="L523" s="4" t="str">
        <f t="shared" si="1"/>
        <v>Jun-2025</v>
      </c>
    </row>
    <row r="524" ht="15.75" customHeight="1">
      <c r="A524" s="4" t="s">
        <v>805</v>
      </c>
      <c r="B524" s="5">
        <v>45823.0</v>
      </c>
      <c r="C524" s="4" t="s">
        <v>180</v>
      </c>
      <c r="D524" s="4" t="s">
        <v>19</v>
      </c>
      <c r="E524" s="4" t="s">
        <v>20</v>
      </c>
      <c r="F524" s="4" t="s">
        <v>735</v>
      </c>
      <c r="G524" s="4">
        <v>7.0</v>
      </c>
      <c r="H524" s="6">
        <v>29462.55</v>
      </c>
      <c r="I524" s="6">
        <v>206237.85</v>
      </c>
      <c r="J524" s="6">
        <v>180990.88</v>
      </c>
      <c r="K524" s="6">
        <v>25246.97</v>
      </c>
      <c r="L524" s="4" t="str">
        <f t="shared" si="1"/>
        <v>Jun-2025</v>
      </c>
    </row>
    <row r="525" ht="15.75" customHeight="1">
      <c r="A525" s="4" t="s">
        <v>806</v>
      </c>
      <c r="B525" s="5">
        <v>45823.0</v>
      </c>
      <c r="C525" s="4" t="s">
        <v>13</v>
      </c>
      <c r="D525" s="4" t="s">
        <v>14</v>
      </c>
      <c r="E525" s="4" t="s">
        <v>29</v>
      </c>
      <c r="F525" s="4" t="s">
        <v>461</v>
      </c>
      <c r="G525" s="4">
        <v>2.0</v>
      </c>
      <c r="H525" s="6">
        <v>910.74</v>
      </c>
      <c r="I525" s="6">
        <v>1821.48</v>
      </c>
      <c r="J525" s="6">
        <v>1244.78</v>
      </c>
      <c r="K525" s="6">
        <v>576.7</v>
      </c>
      <c r="L525" s="4" t="str">
        <f t="shared" si="1"/>
        <v>Jun-2025</v>
      </c>
    </row>
    <row r="526" ht="15.75" customHeight="1">
      <c r="A526" s="4" t="s">
        <v>807</v>
      </c>
      <c r="B526" s="5">
        <v>45824.0</v>
      </c>
      <c r="C526" s="4" t="s">
        <v>109</v>
      </c>
      <c r="D526" s="4" t="s">
        <v>42</v>
      </c>
      <c r="E526" s="4" t="s">
        <v>20</v>
      </c>
      <c r="F526" s="4" t="s">
        <v>131</v>
      </c>
      <c r="G526" s="4">
        <v>2.0</v>
      </c>
      <c r="H526" s="6">
        <v>4187.68</v>
      </c>
      <c r="I526" s="6">
        <v>8375.36</v>
      </c>
      <c r="J526" s="6">
        <v>7012.81</v>
      </c>
      <c r="K526" s="6">
        <v>1362.55</v>
      </c>
      <c r="L526" s="4" t="str">
        <f t="shared" si="1"/>
        <v>Jun-2025</v>
      </c>
    </row>
    <row r="527" ht="15.75" customHeight="1">
      <c r="A527" s="4" t="s">
        <v>808</v>
      </c>
      <c r="B527" s="5">
        <v>45825.0</v>
      </c>
      <c r="C527" s="4" t="s">
        <v>109</v>
      </c>
      <c r="D527" s="4" t="s">
        <v>42</v>
      </c>
      <c r="E527" s="4" t="s">
        <v>15</v>
      </c>
      <c r="F527" s="4" t="s">
        <v>575</v>
      </c>
      <c r="G527" s="4">
        <v>2.0</v>
      </c>
      <c r="H527" s="6">
        <v>4176.95</v>
      </c>
      <c r="I527" s="6">
        <v>8353.9</v>
      </c>
      <c r="J527" s="6">
        <v>7249.28</v>
      </c>
      <c r="K527" s="6">
        <v>1104.62</v>
      </c>
      <c r="L527" s="4" t="str">
        <f t="shared" si="1"/>
        <v>Jun-2025</v>
      </c>
    </row>
    <row r="528" ht="15.75" customHeight="1">
      <c r="A528" s="4" t="s">
        <v>809</v>
      </c>
      <c r="B528" s="5">
        <v>45826.0</v>
      </c>
      <c r="C528" s="4" t="s">
        <v>109</v>
      </c>
      <c r="D528" s="4" t="s">
        <v>42</v>
      </c>
      <c r="E528" s="4" t="s">
        <v>25</v>
      </c>
      <c r="F528" s="4" t="s">
        <v>162</v>
      </c>
      <c r="G528" s="4">
        <v>5.0</v>
      </c>
      <c r="H528" s="6">
        <v>3317.87</v>
      </c>
      <c r="I528" s="6">
        <v>16589.35</v>
      </c>
      <c r="J528" s="6">
        <v>14743.09</v>
      </c>
      <c r="K528" s="6">
        <v>1846.26</v>
      </c>
      <c r="L528" s="4" t="str">
        <f t="shared" si="1"/>
        <v>Jun-2025</v>
      </c>
    </row>
    <row r="529" ht="15.75" customHeight="1">
      <c r="A529" s="4" t="s">
        <v>810</v>
      </c>
      <c r="B529" s="5">
        <v>45826.0</v>
      </c>
      <c r="C529" s="4" t="s">
        <v>69</v>
      </c>
      <c r="D529" s="4" t="s">
        <v>19</v>
      </c>
      <c r="E529" s="4" t="s">
        <v>20</v>
      </c>
      <c r="F529" s="4" t="s">
        <v>552</v>
      </c>
      <c r="G529" s="4">
        <v>3.0</v>
      </c>
      <c r="H529" s="6">
        <v>37769.11</v>
      </c>
      <c r="I529" s="6">
        <v>113307.33</v>
      </c>
      <c r="J529" s="6">
        <v>98713.25</v>
      </c>
      <c r="K529" s="6">
        <v>14594.08</v>
      </c>
      <c r="L529" s="4" t="str">
        <f t="shared" si="1"/>
        <v>Jun-2025</v>
      </c>
    </row>
    <row r="530" ht="15.75" customHeight="1">
      <c r="A530" s="4" t="s">
        <v>811</v>
      </c>
      <c r="B530" s="5">
        <v>45827.0</v>
      </c>
      <c r="C530" s="4" t="s">
        <v>109</v>
      </c>
      <c r="D530" s="4" t="s">
        <v>42</v>
      </c>
      <c r="E530" s="4" t="s">
        <v>29</v>
      </c>
      <c r="F530" s="4" t="s">
        <v>238</v>
      </c>
      <c r="G530" s="4">
        <v>5.0</v>
      </c>
      <c r="H530" s="6">
        <v>2784.24</v>
      </c>
      <c r="I530" s="6">
        <v>13921.2</v>
      </c>
      <c r="J530" s="6">
        <v>12024.77</v>
      </c>
      <c r="K530" s="6">
        <v>1896.43</v>
      </c>
      <c r="L530" s="4" t="str">
        <f t="shared" si="1"/>
        <v>Jun-2025</v>
      </c>
    </row>
    <row r="531" ht="15.75" customHeight="1">
      <c r="A531" s="4" t="s">
        <v>812</v>
      </c>
      <c r="B531" s="5">
        <v>45828.0</v>
      </c>
      <c r="C531" s="4" t="s">
        <v>140</v>
      </c>
      <c r="D531" s="4" t="s">
        <v>14</v>
      </c>
      <c r="E531" s="4" t="s">
        <v>29</v>
      </c>
      <c r="F531" s="4" t="s">
        <v>795</v>
      </c>
      <c r="G531" s="4">
        <v>2.0</v>
      </c>
      <c r="H531" s="6">
        <v>802.6</v>
      </c>
      <c r="I531" s="6">
        <v>1605.2</v>
      </c>
      <c r="J531" s="6">
        <v>1153.21</v>
      </c>
      <c r="K531" s="6">
        <v>451.99</v>
      </c>
      <c r="L531" s="4" t="str">
        <f t="shared" si="1"/>
        <v>Jun-2025</v>
      </c>
    </row>
    <row r="532" ht="15.75" customHeight="1">
      <c r="A532" s="4" t="s">
        <v>813</v>
      </c>
      <c r="B532" s="5">
        <v>45829.0</v>
      </c>
      <c r="C532" s="4" t="s">
        <v>18</v>
      </c>
      <c r="D532" s="4" t="s">
        <v>19</v>
      </c>
      <c r="E532" s="4" t="s">
        <v>20</v>
      </c>
      <c r="F532" s="4" t="s">
        <v>478</v>
      </c>
      <c r="G532" s="4">
        <v>5.0</v>
      </c>
      <c r="H532" s="6">
        <v>70933.08</v>
      </c>
      <c r="I532" s="6">
        <v>354665.4</v>
      </c>
      <c r="J532" s="6">
        <v>300394.3</v>
      </c>
      <c r="K532" s="6">
        <v>54271.1</v>
      </c>
      <c r="L532" s="4" t="str">
        <f t="shared" si="1"/>
        <v>Jun-2025</v>
      </c>
    </row>
    <row r="533" ht="15.75" customHeight="1">
      <c r="A533" s="4" t="s">
        <v>814</v>
      </c>
      <c r="B533" s="5">
        <v>45829.0</v>
      </c>
      <c r="C533" s="4" t="s">
        <v>155</v>
      </c>
      <c r="D533" s="4" t="s">
        <v>24</v>
      </c>
      <c r="E533" s="4" t="s">
        <v>15</v>
      </c>
      <c r="F533" s="4" t="s">
        <v>78</v>
      </c>
      <c r="G533" s="4">
        <v>7.0</v>
      </c>
      <c r="H533" s="6">
        <v>14750.71</v>
      </c>
      <c r="I533" s="6">
        <v>103254.97</v>
      </c>
      <c r="J533" s="6">
        <v>88020.01</v>
      </c>
      <c r="K533" s="6">
        <v>15234.96</v>
      </c>
      <c r="L533" s="4" t="str">
        <f t="shared" si="1"/>
        <v>Jun-2025</v>
      </c>
    </row>
    <row r="534" ht="15.75" customHeight="1">
      <c r="A534" s="4" t="s">
        <v>815</v>
      </c>
      <c r="B534" s="5">
        <v>45830.0</v>
      </c>
      <c r="C534" s="4" t="s">
        <v>32</v>
      </c>
      <c r="D534" s="4" t="s">
        <v>19</v>
      </c>
      <c r="E534" s="4" t="s">
        <v>20</v>
      </c>
      <c r="F534" s="4" t="s">
        <v>238</v>
      </c>
      <c r="G534" s="4">
        <v>6.0</v>
      </c>
      <c r="H534" s="6">
        <v>59847.82</v>
      </c>
      <c r="I534" s="6">
        <v>359086.92</v>
      </c>
      <c r="J534" s="6">
        <v>292009.25</v>
      </c>
      <c r="K534" s="6">
        <v>67077.67</v>
      </c>
      <c r="L534" s="4" t="str">
        <f t="shared" si="1"/>
        <v>Jun-2025</v>
      </c>
    </row>
    <row r="535" ht="15.75" customHeight="1">
      <c r="A535" s="4" t="s">
        <v>816</v>
      </c>
      <c r="B535" s="5">
        <v>45830.0</v>
      </c>
      <c r="C535" s="4" t="s">
        <v>69</v>
      </c>
      <c r="D535" s="4" t="s">
        <v>19</v>
      </c>
      <c r="E535" s="4" t="s">
        <v>29</v>
      </c>
      <c r="F535" s="4" t="s">
        <v>67</v>
      </c>
      <c r="G535" s="4">
        <v>5.0</v>
      </c>
      <c r="H535" s="6">
        <v>52342.36</v>
      </c>
      <c r="I535" s="6">
        <v>261711.8</v>
      </c>
      <c r="J535" s="6">
        <v>233906.0</v>
      </c>
      <c r="K535" s="6">
        <v>27805.8</v>
      </c>
      <c r="L535" s="4" t="str">
        <f t="shared" si="1"/>
        <v>Jun-2025</v>
      </c>
    </row>
    <row r="536" ht="15.75" customHeight="1">
      <c r="A536" s="4" t="s">
        <v>817</v>
      </c>
      <c r="B536" s="5">
        <v>45830.0</v>
      </c>
      <c r="C536" s="4" t="s">
        <v>35</v>
      </c>
      <c r="D536" s="4" t="s">
        <v>14</v>
      </c>
      <c r="E536" s="4" t="s">
        <v>29</v>
      </c>
      <c r="F536" s="4" t="s">
        <v>73</v>
      </c>
      <c r="G536" s="4">
        <v>5.0</v>
      </c>
      <c r="H536" s="6">
        <v>605.55</v>
      </c>
      <c r="I536" s="6">
        <v>3027.75</v>
      </c>
      <c r="J536" s="6">
        <v>2488.0</v>
      </c>
      <c r="K536" s="6">
        <v>539.75</v>
      </c>
      <c r="L536" s="4" t="str">
        <f t="shared" si="1"/>
        <v>Jun-2025</v>
      </c>
    </row>
    <row r="537" ht="15.75" customHeight="1">
      <c r="A537" s="4" t="s">
        <v>818</v>
      </c>
      <c r="B537" s="5">
        <v>45830.0</v>
      </c>
      <c r="C537" s="4" t="s">
        <v>38</v>
      </c>
      <c r="D537" s="4" t="s">
        <v>19</v>
      </c>
      <c r="E537" s="4" t="s">
        <v>20</v>
      </c>
      <c r="F537" s="4" t="s">
        <v>33</v>
      </c>
      <c r="G537" s="4">
        <v>4.0</v>
      </c>
      <c r="H537" s="6">
        <v>43203.3</v>
      </c>
      <c r="I537" s="6">
        <v>172813.2</v>
      </c>
      <c r="J537" s="6">
        <v>143622.14</v>
      </c>
      <c r="K537" s="6">
        <v>29191.06</v>
      </c>
      <c r="L537" s="4" t="str">
        <f t="shared" si="1"/>
        <v>Jun-2025</v>
      </c>
    </row>
    <row r="538" ht="15.75" customHeight="1">
      <c r="A538" s="4" t="s">
        <v>819</v>
      </c>
      <c r="B538" s="5">
        <v>45830.0</v>
      </c>
      <c r="C538" s="4" t="s">
        <v>28</v>
      </c>
      <c r="D538" s="4" t="s">
        <v>14</v>
      </c>
      <c r="E538" s="4" t="s">
        <v>15</v>
      </c>
      <c r="F538" s="4" t="s">
        <v>820</v>
      </c>
      <c r="G538" s="4">
        <v>2.0</v>
      </c>
      <c r="H538" s="6">
        <v>1335.23</v>
      </c>
      <c r="I538" s="6">
        <v>2670.46</v>
      </c>
      <c r="J538" s="6">
        <v>1851.3</v>
      </c>
      <c r="K538" s="6">
        <v>819.16</v>
      </c>
      <c r="L538" s="4" t="str">
        <f t="shared" si="1"/>
        <v>Jun-2025</v>
      </c>
    </row>
    <row r="539" ht="15.75" customHeight="1">
      <c r="A539" s="4" t="s">
        <v>821</v>
      </c>
      <c r="B539" s="5">
        <v>45830.0</v>
      </c>
      <c r="C539" s="4" t="s">
        <v>18</v>
      </c>
      <c r="D539" s="4" t="s">
        <v>19</v>
      </c>
      <c r="E539" s="4" t="s">
        <v>25</v>
      </c>
      <c r="F539" s="4" t="s">
        <v>822</v>
      </c>
      <c r="G539" s="4">
        <v>7.0</v>
      </c>
      <c r="H539" s="6">
        <v>3401.82</v>
      </c>
      <c r="I539" s="6">
        <v>23812.74</v>
      </c>
      <c r="J539" s="6">
        <v>21801.27</v>
      </c>
      <c r="K539" s="6">
        <v>2011.47</v>
      </c>
      <c r="L539" s="4" t="str">
        <f t="shared" si="1"/>
        <v>Jun-2025</v>
      </c>
    </row>
    <row r="540" ht="15.75" customHeight="1">
      <c r="A540" s="4" t="s">
        <v>823</v>
      </c>
      <c r="B540" s="5">
        <v>45830.0</v>
      </c>
      <c r="C540" s="4" t="s">
        <v>28</v>
      </c>
      <c r="D540" s="4" t="s">
        <v>14</v>
      </c>
      <c r="E540" s="4" t="s">
        <v>29</v>
      </c>
      <c r="F540" s="4" t="s">
        <v>252</v>
      </c>
      <c r="G540" s="4">
        <v>7.0</v>
      </c>
      <c r="H540" s="6">
        <v>860.82</v>
      </c>
      <c r="I540" s="6">
        <v>6025.74</v>
      </c>
      <c r="J540" s="6">
        <v>4471.31</v>
      </c>
      <c r="K540" s="6">
        <v>1554.43</v>
      </c>
      <c r="L540" s="4" t="str">
        <f t="shared" si="1"/>
        <v>Jun-2025</v>
      </c>
    </row>
    <row r="541" ht="15.75" customHeight="1">
      <c r="A541" s="4" t="s">
        <v>824</v>
      </c>
      <c r="B541" s="5">
        <v>45830.0</v>
      </c>
      <c r="C541" s="4" t="s">
        <v>32</v>
      </c>
      <c r="D541" s="4" t="s">
        <v>19</v>
      </c>
      <c r="E541" s="4" t="s">
        <v>20</v>
      </c>
      <c r="F541" s="4" t="s">
        <v>147</v>
      </c>
      <c r="G541" s="4">
        <v>4.0</v>
      </c>
      <c r="H541" s="6">
        <v>54978.87</v>
      </c>
      <c r="I541" s="6">
        <v>219915.48</v>
      </c>
      <c r="J541" s="6">
        <v>187232.8</v>
      </c>
      <c r="K541" s="6">
        <v>32682.68</v>
      </c>
      <c r="L541" s="4" t="str">
        <f t="shared" si="1"/>
        <v>Jun-2025</v>
      </c>
    </row>
    <row r="542" ht="15.75" customHeight="1">
      <c r="A542" s="4" t="s">
        <v>825</v>
      </c>
      <c r="B542" s="5">
        <v>45831.0</v>
      </c>
      <c r="C542" s="4" t="s">
        <v>38</v>
      </c>
      <c r="D542" s="4" t="s">
        <v>19</v>
      </c>
      <c r="E542" s="4" t="s">
        <v>25</v>
      </c>
      <c r="F542" s="4" t="s">
        <v>826</v>
      </c>
      <c r="G542" s="4">
        <v>6.0</v>
      </c>
      <c r="H542" s="6">
        <v>46133.19</v>
      </c>
      <c r="I542" s="6">
        <v>276799.14</v>
      </c>
      <c r="J542" s="6">
        <v>253322.43</v>
      </c>
      <c r="K542" s="6">
        <v>23476.71</v>
      </c>
      <c r="L542" s="4" t="str">
        <f t="shared" si="1"/>
        <v>Jun-2025</v>
      </c>
    </row>
    <row r="543" ht="15.75" customHeight="1">
      <c r="A543" s="4" t="s">
        <v>827</v>
      </c>
      <c r="B543" s="5">
        <v>45831.0</v>
      </c>
      <c r="C543" s="4" t="s">
        <v>38</v>
      </c>
      <c r="D543" s="4" t="s">
        <v>19</v>
      </c>
      <c r="E543" s="4" t="s">
        <v>15</v>
      </c>
      <c r="F543" s="4" t="s">
        <v>241</v>
      </c>
      <c r="G543" s="4">
        <v>3.0</v>
      </c>
      <c r="H543" s="6">
        <v>46755.87</v>
      </c>
      <c r="I543" s="6">
        <v>140267.61</v>
      </c>
      <c r="J543" s="6">
        <v>125138.9</v>
      </c>
      <c r="K543" s="6">
        <v>15128.71</v>
      </c>
      <c r="L543" s="4" t="str">
        <f t="shared" si="1"/>
        <v>Jun-2025</v>
      </c>
    </row>
    <row r="544" ht="15.75" customHeight="1">
      <c r="A544" s="4" t="s">
        <v>828</v>
      </c>
      <c r="B544" s="5">
        <v>45831.0</v>
      </c>
      <c r="C544" s="4" t="s">
        <v>72</v>
      </c>
      <c r="D544" s="4" t="s">
        <v>24</v>
      </c>
      <c r="E544" s="4" t="s">
        <v>25</v>
      </c>
      <c r="F544" s="4" t="s">
        <v>765</v>
      </c>
      <c r="G544" s="4">
        <v>3.0</v>
      </c>
      <c r="H544" s="6">
        <v>13089.01</v>
      </c>
      <c r="I544" s="6">
        <v>39267.03</v>
      </c>
      <c r="J544" s="6">
        <v>29612.67</v>
      </c>
      <c r="K544" s="6">
        <v>9654.36</v>
      </c>
      <c r="L544" s="4" t="str">
        <f t="shared" si="1"/>
        <v>Jun-2025</v>
      </c>
    </row>
    <row r="545" ht="15.75" customHeight="1">
      <c r="A545" s="4" t="s">
        <v>829</v>
      </c>
      <c r="B545" s="5">
        <v>45831.0</v>
      </c>
      <c r="C545" s="4" t="s">
        <v>109</v>
      </c>
      <c r="D545" s="4" t="s">
        <v>42</v>
      </c>
      <c r="E545" s="4" t="s">
        <v>25</v>
      </c>
      <c r="F545" s="4" t="s">
        <v>227</v>
      </c>
      <c r="G545" s="4">
        <v>6.0</v>
      </c>
      <c r="H545" s="6">
        <v>3765.83</v>
      </c>
      <c r="I545" s="6">
        <v>22594.98</v>
      </c>
      <c r="J545" s="6">
        <v>19077.69</v>
      </c>
      <c r="K545" s="6">
        <v>3517.29</v>
      </c>
      <c r="L545" s="4" t="str">
        <f t="shared" si="1"/>
        <v>Jun-2025</v>
      </c>
    </row>
    <row r="546" ht="15.75" customHeight="1">
      <c r="A546" s="4" t="s">
        <v>830</v>
      </c>
      <c r="B546" s="5">
        <v>45831.0</v>
      </c>
      <c r="C546" s="4" t="s">
        <v>75</v>
      </c>
      <c r="D546" s="4" t="s">
        <v>24</v>
      </c>
      <c r="E546" s="4" t="s">
        <v>20</v>
      </c>
      <c r="F546" s="4" t="s">
        <v>268</v>
      </c>
      <c r="G546" s="4">
        <v>1.0</v>
      </c>
      <c r="H546" s="6">
        <v>16799.5</v>
      </c>
      <c r="I546" s="6">
        <v>16799.5</v>
      </c>
      <c r="J546" s="6">
        <v>14164.66</v>
      </c>
      <c r="K546" s="6">
        <v>2634.84</v>
      </c>
      <c r="L546" s="4" t="str">
        <f t="shared" si="1"/>
        <v>Jun-2025</v>
      </c>
    </row>
    <row r="547" ht="15.75" customHeight="1">
      <c r="A547" s="4" t="s">
        <v>831</v>
      </c>
      <c r="B547" s="5">
        <v>45831.0</v>
      </c>
      <c r="C547" s="4" t="s">
        <v>32</v>
      </c>
      <c r="D547" s="4" t="s">
        <v>19</v>
      </c>
      <c r="E547" s="4" t="s">
        <v>29</v>
      </c>
      <c r="F547" s="4" t="s">
        <v>293</v>
      </c>
      <c r="G547" s="4">
        <v>1.0</v>
      </c>
      <c r="H547" s="6">
        <v>26088.52</v>
      </c>
      <c r="I547" s="6">
        <v>26088.52</v>
      </c>
      <c r="J547" s="6">
        <v>23485.43</v>
      </c>
      <c r="K547" s="6">
        <v>2603.09</v>
      </c>
      <c r="L547" s="4" t="str">
        <f t="shared" si="1"/>
        <v>Jun-2025</v>
      </c>
    </row>
    <row r="548" ht="15.75" customHeight="1">
      <c r="A548" s="4" t="s">
        <v>832</v>
      </c>
      <c r="B548" s="5">
        <v>45832.0</v>
      </c>
      <c r="C548" s="4" t="s">
        <v>13</v>
      </c>
      <c r="D548" s="4" t="s">
        <v>14</v>
      </c>
      <c r="E548" s="4" t="s">
        <v>20</v>
      </c>
      <c r="F548" s="4" t="s">
        <v>607</v>
      </c>
      <c r="G548" s="4">
        <v>6.0</v>
      </c>
      <c r="H548" s="6">
        <v>125.79</v>
      </c>
      <c r="I548" s="6">
        <v>754.74</v>
      </c>
      <c r="J548" s="6">
        <v>616.54</v>
      </c>
      <c r="K548" s="6">
        <v>138.2</v>
      </c>
      <c r="L548" s="4" t="str">
        <f t="shared" si="1"/>
        <v>Jun-2025</v>
      </c>
    </row>
    <row r="549" ht="15.75" customHeight="1">
      <c r="A549" s="4" t="s">
        <v>833</v>
      </c>
      <c r="B549" s="5">
        <v>45832.0</v>
      </c>
      <c r="C549" s="4" t="s">
        <v>61</v>
      </c>
      <c r="D549" s="4" t="s">
        <v>19</v>
      </c>
      <c r="E549" s="4" t="s">
        <v>20</v>
      </c>
      <c r="F549" s="4" t="s">
        <v>735</v>
      </c>
      <c r="G549" s="4">
        <v>4.0</v>
      </c>
      <c r="H549" s="6">
        <v>73437.89</v>
      </c>
      <c r="I549" s="6">
        <v>293751.56</v>
      </c>
      <c r="J549" s="6">
        <v>252560.44</v>
      </c>
      <c r="K549" s="6">
        <v>41191.12</v>
      </c>
      <c r="L549" s="4" t="str">
        <f t="shared" si="1"/>
        <v>Jun-2025</v>
      </c>
    </row>
    <row r="550" ht="15.75" customHeight="1">
      <c r="A550" s="4" t="s">
        <v>834</v>
      </c>
      <c r="B550" s="5">
        <v>45832.0</v>
      </c>
      <c r="C550" s="4" t="s">
        <v>160</v>
      </c>
      <c r="D550" s="4" t="s">
        <v>42</v>
      </c>
      <c r="E550" s="4" t="s">
        <v>29</v>
      </c>
      <c r="F550" s="4" t="s">
        <v>84</v>
      </c>
      <c r="G550" s="4">
        <v>2.0</v>
      </c>
      <c r="H550" s="6">
        <v>749.54</v>
      </c>
      <c r="I550" s="6">
        <v>1499.08</v>
      </c>
      <c r="J550" s="6">
        <v>1321.96</v>
      </c>
      <c r="K550" s="6">
        <v>177.12</v>
      </c>
      <c r="L550" s="4" t="str">
        <f t="shared" si="1"/>
        <v>Jun-2025</v>
      </c>
    </row>
    <row r="551" ht="15.75" customHeight="1">
      <c r="A551" s="4" t="s">
        <v>835</v>
      </c>
      <c r="B551" s="5">
        <v>45832.0</v>
      </c>
      <c r="C551" s="4" t="s">
        <v>41</v>
      </c>
      <c r="D551" s="4" t="s">
        <v>42</v>
      </c>
      <c r="E551" s="4" t="s">
        <v>20</v>
      </c>
      <c r="F551" s="4" t="s">
        <v>302</v>
      </c>
      <c r="G551" s="4">
        <v>4.0</v>
      </c>
      <c r="H551" s="6">
        <v>2450.19</v>
      </c>
      <c r="I551" s="6">
        <v>9800.76</v>
      </c>
      <c r="J551" s="6">
        <v>8373.41</v>
      </c>
      <c r="K551" s="6">
        <v>1427.35</v>
      </c>
      <c r="L551" s="4" t="str">
        <f t="shared" si="1"/>
        <v>Jun-2025</v>
      </c>
    </row>
    <row r="552" ht="15.75" customHeight="1">
      <c r="A552" s="4" t="s">
        <v>836</v>
      </c>
      <c r="B552" s="5">
        <v>45832.0</v>
      </c>
      <c r="C552" s="4" t="s">
        <v>18</v>
      </c>
      <c r="D552" s="4" t="s">
        <v>19</v>
      </c>
      <c r="E552" s="4" t="s">
        <v>15</v>
      </c>
      <c r="F552" s="4" t="s">
        <v>229</v>
      </c>
      <c r="G552" s="4">
        <v>6.0</v>
      </c>
      <c r="H552" s="6">
        <v>10545.07</v>
      </c>
      <c r="I552" s="6">
        <v>63270.42</v>
      </c>
      <c r="J552" s="6">
        <v>51618.13</v>
      </c>
      <c r="K552" s="6">
        <v>11652.29</v>
      </c>
      <c r="L552" s="4" t="str">
        <f t="shared" si="1"/>
        <v>Jun-2025</v>
      </c>
    </row>
    <row r="553" ht="15.75" customHeight="1">
      <c r="A553" s="4" t="s">
        <v>837</v>
      </c>
      <c r="B553" s="5">
        <v>45832.0</v>
      </c>
      <c r="C553" s="4" t="s">
        <v>155</v>
      </c>
      <c r="D553" s="4" t="s">
        <v>24</v>
      </c>
      <c r="E553" s="4" t="s">
        <v>25</v>
      </c>
      <c r="F553" s="4" t="s">
        <v>478</v>
      </c>
      <c r="G553" s="4">
        <v>6.0</v>
      </c>
      <c r="H553" s="6">
        <v>2353.44</v>
      </c>
      <c r="I553" s="6">
        <v>14120.64</v>
      </c>
      <c r="J553" s="6">
        <v>12300.21</v>
      </c>
      <c r="K553" s="6">
        <v>1820.43</v>
      </c>
      <c r="L553" s="4" t="str">
        <f t="shared" si="1"/>
        <v>Jun-2025</v>
      </c>
    </row>
    <row r="554" ht="15.75" customHeight="1">
      <c r="A554" s="4" t="s">
        <v>838</v>
      </c>
      <c r="B554" s="5">
        <v>45833.0</v>
      </c>
      <c r="C554" s="4" t="s">
        <v>47</v>
      </c>
      <c r="D554" s="4" t="s">
        <v>14</v>
      </c>
      <c r="E554" s="4" t="s">
        <v>15</v>
      </c>
      <c r="F554" s="4" t="s">
        <v>84</v>
      </c>
      <c r="G554" s="4">
        <v>2.0</v>
      </c>
      <c r="H554" s="6">
        <v>62.06</v>
      </c>
      <c r="I554" s="6">
        <v>124.12</v>
      </c>
      <c r="J554" s="6">
        <v>89.71</v>
      </c>
      <c r="K554" s="6">
        <v>34.41</v>
      </c>
      <c r="L554" s="4" t="str">
        <f t="shared" si="1"/>
        <v>Jun-2025</v>
      </c>
    </row>
    <row r="555" ht="15.75" customHeight="1">
      <c r="A555" s="4" t="s">
        <v>839</v>
      </c>
      <c r="B555" s="5">
        <v>45833.0</v>
      </c>
      <c r="C555" s="4" t="s">
        <v>140</v>
      </c>
      <c r="D555" s="4" t="s">
        <v>14</v>
      </c>
      <c r="E555" s="4" t="s">
        <v>20</v>
      </c>
      <c r="F555" s="4" t="s">
        <v>62</v>
      </c>
      <c r="G555" s="4">
        <v>4.0</v>
      </c>
      <c r="H555" s="6">
        <v>861.55</v>
      </c>
      <c r="I555" s="6">
        <v>3446.2</v>
      </c>
      <c r="J555" s="6">
        <v>2359.81</v>
      </c>
      <c r="K555" s="6">
        <v>1086.39</v>
      </c>
      <c r="L555" s="4" t="str">
        <f t="shared" si="1"/>
        <v>Jun-2025</v>
      </c>
    </row>
    <row r="556" ht="15.75" customHeight="1">
      <c r="A556" s="4" t="s">
        <v>840</v>
      </c>
      <c r="B556" s="5">
        <v>45833.0</v>
      </c>
      <c r="C556" s="4" t="s">
        <v>13</v>
      </c>
      <c r="D556" s="4" t="s">
        <v>14</v>
      </c>
      <c r="E556" s="4" t="s">
        <v>20</v>
      </c>
      <c r="F556" s="4" t="s">
        <v>243</v>
      </c>
      <c r="G556" s="4">
        <v>3.0</v>
      </c>
      <c r="H556" s="6">
        <v>1419.19</v>
      </c>
      <c r="I556" s="6">
        <v>4257.57</v>
      </c>
      <c r="J556" s="6">
        <v>3007.66</v>
      </c>
      <c r="K556" s="6">
        <v>1249.91</v>
      </c>
      <c r="L556" s="4" t="str">
        <f t="shared" si="1"/>
        <v>Jun-2025</v>
      </c>
    </row>
    <row r="557" ht="15.75" customHeight="1">
      <c r="A557" s="4" t="s">
        <v>841</v>
      </c>
      <c r="B557" s="5">
        <v>45833.0</v>
      </c>
      <c r="C557" s="4" t="s">
        <v>28</v>
      </c>
      <c r="D557" s="4" t="s">
        <v>14</v>
      </c>
      <c r="E557" s="4" t="s">
        <v>15</v>
      </c>
      <c r="F557" s="4" t="s">
        <v>57</v>
      </c>
      <c r="G557" s="4">
        <v>2.0</v>
      </c>
      <c r="H557" s="6">
        <v>122.59</v>
      </c>
      <c r="I557" s="6">
        <v>245.18</v>
      </c>
      <c r="J557" s="6">
        <v>198.12</v>
      </c>
      <c r="K557" s="6">
        <v>47.06</v>
      </c>
      <c r="L557" s="4" t="str">
        <f t="shared" si="1"/>
        <v>Jun-2025</v>
      </c>
    </row>
    <row r="558" ht="15.75" customHeight="1">
      <c r="A558" s="4" t="s">
        <v>842</v>
      </c>
      <c r="B558" s="5">
        <v>45834.0</v>
      </c>
      <c r="C558" s="4" t="s">
        <v>69</v>
      </c>
      <c r="D558" s="4" t="s">
        <v>19</v>
      </c>
      <c r="E558" s="4" t="s">
        <v>29</v>
      </c>
      <c r="F558" s="4" t="s">
        <v>661</v>
      </c>
      <c r="G558" s="4">
        <v>3.0</v>
      </c>
      <c r="H558" s="6">
        <v>11187.06</v>
      </c>
      <c r="I558" s="6">
        <v>33561.18</v>
      </c>
      <c r="J558" s="6">
        <v>29201.64</v>
      </c>
      <c r="K558" s="6">
        <v>4359.54</v>
      </c>
      <c r="L558" s="4" t="str">
        <f t="shared" si="1"/>
        <v>Jun-2025</v>
      </c>
    </row>
    <row r="559" ht="15.75" customHeight="1">
      <c r="A559" s="4" t="s">
        <v>843</v>
      </c>
      <c r="B559" s="5">
        <v>45835.0</v>
      </c>
      <c r="C559" s="4" t="s">
        <v>180</v>
      </c>
      <c r="D559" s="4" t="s">
        <v>19</v>
      </c>
      <c r="E559" s="4" t="s">
        <v>25</v>
      </c>
      <c r="F559" s="4" t="s">
        <v>596</v>
      </c>
      <c r="G559" s="4">
        <v>7.0</v>
      </c>
      <c r="H559" s="6">
        <v>22015.3</v>
      </c>
      <c r="I559" s="6">
        <v>154107.1</v>
      </c>
      <c r="J559" s="6">
        <v>133879.17</v>
      </c>
      <c r="K559" s="6">
        <v>20227.93</v>
      </c>
      <c r="L559" s="4" t="str">
        <f t="shared" si="1"/>
        <v>Jun-2025</v>
      </c>
    </row>
    <row r="560" ht="15.75" customHeight="1">
      <c r="A560" s="4" t="s">
        <v>844</v>
      </c>
      <c r="B560" s="5">
        <v>45835.0</v>
      </c>
      <c r="C560" s="4" t="s">
        <v>35</v>
      </c>
      <c r="D560" s="4" t="s">
        <v>14</v>
      </c>
      <c r="E560" s="4" t="s">
        <v>20</v>
      </c>
      <c r="F560" s="4" t="s">
        <v>446</v>
      </c>
      <c r="G560" s="4">
        <v>2.0</v>
      </c>
      <c r="H560" s="6">
        <v>813.56</v>
      </c>
      <c r="I560" s="6">
        <v>1627.12</v>
      </c>
      <c r="J560" s="6">
        <v>1364.68</v>
      </c>
      <c r="K560" s="6">
        <v>262.44</v>
      </c>
      <c r="L560" s="4" t="str">
        <f t="shared" si="1"/>
        <v>Jun-2025</v>
      </c>
    </row>
    <row r="561" ht="15.75" customHeight="1">
      <c r="A561" s="4" t="s">
        <v>845</v>
      </c>
      <c r="B561" s="5">
        <v>45836.0</v>
      </c>
      <c r="C561" s="4" t="s">
        <v>13</v>
      </c>
      <c r="D561" s="4" t="s">
        <v>14</v>
      </c>
      <c r="E561" s="4" t="s">
        <v>29</v>
      </c>
      <c r="F561" s="4" t="s">
        <v>70</v>
      </c>
      <c r="G561" s="4">
        <v>4.0</v>
      </c>
      <c r="H561" s="6">
        <v>609.85</v>
      </c>
      <c r="I561" s="6">
        <v>2439.4</v>
      </c>
      <c r="J561" s="6">
        <v>1992.3</v>
      </c>
      <c r="K561" s="6">
        <v>447.1</v>
      </c>
      <c r="L561" s="4" t="str">
        <f t="shared" si="1"/>
        <v>Jun-2025</v>
      </c>
    </row>
    <row r="562" ht="15.75" customHeight="1">
      <c r="A562" s="4" t="s">
        <v>846</v>
      </c>
      <c r="B562" s="5">
        <v>45836.0</v>
      </c>
      <c r="C562" s="4" t="s">
        <v>13</v>
      </c>
      <c r="D562" s="4" t="s">
        <v>14</v>
      </c>
      <c r="E562" s="4" t="s">
        <v>20</v>
      </c>
      <c r="F562" s="4" t="s">
        <v>57</v>
      </c>
      <c r="G562" s="4">
        <v>2.0</v>
      </c>
      <c r="H562" s="6">
        <v>1052.26</v>
      </c>
      <c r="I562" s="6">
        <v>2104.52</v>
      </c>
      <c r="J562" s="6">
        <v>1452.26</v>
      </c>
      <c r="K562" s="6">
        <v>652.26</v>
      </c>
      <c r="L562" s="4" t="str">
        <f t="shared" si="1"/>
        <v>Jun-2025</v>
      </c>
    </row>
    <row r="563" ht="15.75" customHeight="1">
      <c r="A563" s="4" t="s">
        <v>847</v>
      </c>
      <c r="B563" s="5">
        <v>45836.0</v>
      </c>
      <c r="C563" s="4" t="s">
        <v>50</v>
      </c>
      <c r="D563" s="4" t="s">
        <v>42</v>
      </c>
      <c r="E563" s="4" t="s">
        <v>15</v>
      </c>
      <c r="F563" s="4" t="s">
        <v>121</v>
      </c>
      <c r="G563" s="4">
        <v>2.0</v>
      </c>
      <c r="H563" s="6">
        <v>1419.3</v>
      </c>
      <c r="I563" s="6">
        <v>2838.6</v>
      </c>
      <c r="J563" s="6">
        <v>2295.19</v>
      </c>
      <c r="K563" s="6">
        <v>543.41</v>
      </c>
      <c r="L563" s="4" t="str">
        <f t="shared" si="1"/>
        <v>Jun-2025</v>
      </c>
    </row>
    <row r="564" ht="15.75" customHeight="1">
      <c r="A564" s="4" t="s">
        <v>848</v>
      </c>
      <c r="B564" s="5">
        <v>45836.0</v>
      </c>
      <c r="C564" s="4" t="s">
        <v>155</v>
      </c>
      <c r="D564" s="4" t="s">
        <v>24</v>
      </c>
      <c r="E564" s="4" t="s">
        <v>20</v>
      </c>
      <c r="F564" s="4" t="s">
        <v>683</v>
      </c>
      <c r="G564" s="4">
        <v>7.0</v>
      </c>
      <c r="H564" s="6">
        <v>9491.32</v>
      </c>
      <c r="I564" s="6">
        <v>66439.24</v>
      </c>
      <c r="J564" s="6">
        <v>47920.5</v>
      </c>
      <c r="K564" s="6">
        <v>18518.74</v>
      </c>
      <c r="L564" s="4" t="str">
        <f t="shared" si="1"/>
        <v>Jun-2025</v>
      </c>
    </row>
    <row r="565" ht="15.75" customHeight="1">
      <c r="A565" s="4" t="s">
        <v>849</v>
      </c>
      <c r="B565" s="5">
        <v>45836.0</v>
      </c>
      <c r="C565" s="4" t="s">
        <v>155</v>
      </c>
      <c r="D565" s="4" t="s">
        <v>24</v>
      </c>
      <c r="E565" s="4" t="s">
        <v>15</v>
      </c>
      <c r="F565" s="4" t="s">
        <v>80</v>
      </c>
      <c r="G565" s="4">
        <v>4.0</v>
      </c>
      <c r="H565" s="6">
        <v>8944.63</v>
      </c>
      <c r="I565" s="6">
        <v>35778.52</v>
      </c>
      <c r="J565" s="6">
        <v>28537.35</v>
      </c>
      <c r="K565" s="6">
        <v>7241.17</v>
      </c>
      <c r="L565" s="4" t="str">
        <f t="shared" si="1"/>
        <v>Jun-2025</v>
      </c>
    </row>
    <row r="566" ht="15.75" customHeight="1">
      <c r="A566" s="4" t="s">
        <v>850</v>
      </c>
      <c r="B566" s="5">
        <v>45836.0</v>
      </c>
      <c r="C566" s="4" t="s">
        <v>32</v>
      </c>
      <c r="D566" s="4" t="s">
        <v>19</v>
      </c>
      <c r="E566" s="4" t="s">
        <v>20</v>
      </c>
      <c r="F566" s="4" t="s">
        <v>309</v>
      </c>
      <c r="G566" s="4">
        <v>5.0</v>
      </c>
      <c r="H566" s="6">
        <v>41854.17</v>
      </c>
      <c r="I566" s="6">
        <v>209270.85</v>
      </c>
      <c r="J566" s="6">
        <v>179459.4</v>
      </c>
      <c r="K566" s="6">
        <v>29811.45</v>
      </c>
      <c r="L566" s="4" t="str">
        <f t="shared" si="1"/>
        <v>Jun-2025</v>
      </c>
    </row>
    <row r="567" ht="15.75" customHeight="1">
      <c r="A567" s="4" t="s">
        <v>851</v>
      </c>
      <c r="B567" s="5">
        <v>45837.0</v>
      </c>
      <c r="C567" s="4" t="s">
        <v>18</v>
      </c>
      <c r="D567" s="4" t="s">
        <v>19</v>
      </c>
      <c r="E567" s="4" t="s">
        <v>25</v>
      </c>
      <c r="F567" s="4" t="s">
        <v>392</v>
      </c>
      <c r="G567" s="4">
        <v>7.0</v>
      </c>
      <c r="H567" s="6">
        <v>12944.73</v>
      </c>
      <c r="I567" s="6">
        <v>90613.11</v>
      </c>
      <c r="J567" s="6">
        <v>80352.57</v>
      </c>
      <c r="K567" s="6">
        <v>10260.54</v>
      </c>
      <c r="L567" s="4" t="str">
        <f t="shared" si="1"/>
        <v>Jun-2025</v>
      </c>
    </row>
    <row r="568" ht="15.75" customHeight="1">
      <c r="A568" s="4" t="s">
        <v>852</v>
      </c>
      <c r="B568" s="5">
        <v>45837.0</v>
      </c>
      <c r="C568" s="4" t="s">
        <v>35</v>
      </c>
      <c r="D568" s="4" t="s">
        <v>14</v>
      </c>
      <c r="E568" s="4" t="s">
        <v>15</v>
      </c>
      <c r="F568" s="4" t="s">
        <v>26</v>
      </c>
      <c r="G568" s="4">
        <v>6.0</v>
      </c>
      <c r="H568" s="6">
        <v>484.96</v>
      </c>
      <c r="I568" s="6">
        <v>2909.76</v>
      </c>
      <c r="J568" s="6">
        <v>2013.55</v>
      </c>
      <c r="K568" s="6">
        <v>896.21</v>
      </c>
      <c r="L568" s="4" t="str">
        <f t="shared" si="1"/>
        <v>Jun-2025</v>
      </c>
    </row>
    <row r="569" ht="15.75" customHeight="1">
      <c r="A569" s="4" t="s">
        <v>853</v>
      </c>
      <c r="B569" s="5">
        <v>45837.0</v>
      </c>
      <c r="C569" s="4" t="s">
        <v>32</v>
      </c>
      <c r="D569" s="4" t="s">
        <v>19</v>
      </c>
      <c r="E569" s="4" t="s">
        <v>29</v>
      </c>
      <c r="F569" s="4" t="s">
        <v>229</v>
      </c>
      <c r="G569" s="4">
        <v>2.0</v>
      </c>
      <c r="H569" s="6">
        <v>10046.44</v>
      </c>
      <c r="I569" s="6">
        <v>20092.88</v>
      </c>
      <c r="J569" s="6">
        <v>17603.21</v>
      </c>
      <c r="K569" s="6">
        <v>2489.67</v>
      </c>
      <c r="L569" s="4" t="str">
        <f t="shared" si="1"/>
        <v>Jun-2025</v>
      </c>
    </row>
    <row r="570" ht="15.75" customHeight="1">
      <c r="A570" s="4" t="s">
        <v>854</v>
      </c>
      <c r="B570" s="5">
        <v>45837.0</v>
      </c>
      <c r="C570" s="4" t="s">
        <v>66</v>
      </c>
      <c r="D570" s="4" t="s">
        <v>42</v>
      </c>
      <c r="E570" s="4" t="s">
        <v>25</v>
      </c>
      <c r="F570" s="4" t="s">
        <v>268</v>
      </c>
      <c r="G570" s="4">
        <v>6.0</v>
      </c>
      <c r="H570" s="6">
        <v>2253.63</v>
      </c>
      <c r="I570" s="6">
        <v>13521.78</v>
      </c>
      <c r="J570" s="6">
        <v>11197.98</v>
      </c>
      <c r="K570" s="6">
        <v>2323.8</v>
      </c>
      <c r="L570" s="4" t="str">
        <f t="shared" si="1"/>
        <v>Jun-2025</v>
      </c>
    </row>
    <row r="571" ht="15.75" customHeight="1">
      <c r="A571" s="4" t="s">
        <v>855</v>
      </c>
      <c r="B571" s="5">
        <v>45837.0</v>
      </c>
      <c r="C571" s="4" t="s">
        <v>61</v>
      </c>
      <c r="D571" s="4" t="s">
        <v>19</v>
      </c>
      <c r="E571" s="4" t="s">
        <v>25</v>
      </c>
      <c r="F571" s="4" t="s">
        <v>856</v>
      </c>
      <c r="G571" s="4">
        <v>2.0</v>
      </c>
      <c r="H571" s="6">
        <v>43599.15</v>
      </c>
      <c r="I571" s="6">
        <v>87198.3</v>
      </c>
      <c r="J571" s="6">
        <v>78975.04</v>
      </c>
      <c r="K571" s="6">
        <v>8223.26</v>
      </c>
      <c r="L571" s="4" t="str">
        <f t="shared" si="1"/>
        <v>Jun-2025</v>
      </c>
    </row>
    <row r="572" ht="15.75" customHeight="1">
      <c r="A572" s="4" t="s">
        <v>857</v>
      </c>
      <c r="B572" s="5">
        <v>45837.0</v>
      </c>
      <c r="C572" s="4" t="s">
        <v>38</v>
      </c>
      <c r="D572" s="4" t="s">
        <v>19</v>
      </c>
      <c r="E572" s="4" t="s">
        <v>25</v>
      </c>
      <c r="F572" s="4" t="s">
        <v>70</v>
      </c>
      <c r="G572" s="4">
        <v>2.0</v>
      </c>
      <c r="H572" s="6">
        <v>29363.94</v>
      </c>
      <c r="I572" s="6">
        <v>58727.88</v>
      </c>
      <c r="J572" s="6">
        <v>51194.54</v>
      </c>
      <c r="K572" s="6">
        <v>7533.34</v>
      </c>
      <c r="L572" s="4" t="str">
        <f t="shared" si="1"/>
        <v>Jun-2025</v>
      </c>
    </row>
    <row r="573" ht="15.75" customHeight="1">
      <c r="A573" s="4" t="s">
        <v>858</v>
      </c>
      <c r="B573" s="5">
        <v>45837.0</v>
      </c>
      <c r="C573" s="4" t="s">
        <v>72</v>
      </c>
      <c r="D573" s="4" t="s">
        <v>24</v>
      </c>
      <c r="E573" s="4" t="s">
        <v>20</v>
      </c>
      <c r="F573" s="4" t="s">
        <v>256</v>
      </c>
      <c r="G573" s="4">
        <v>4.0</v>
      </c>
      <c r="H573" s="6">
        <v>1643.98</v>
      </c>
      <c r="I573" s="6">
        <v>6575.92</v>
      </c>
      <c r="J573" s="6">
        <v>4837.35</v>
      </c>
      <c r="K573" s="6">
        <v>1738.57</v>
      </c>
      <c r="L573" s="4" t="str">
        <f t="shared" si="1"/>
        <v>Jun-2025</v>
      </c>
    </row>
    <row r="574" ht="15.75" customHeight="1">
      <c r="A574" s="4" t="s">
        <v>859</v>
      </c>
      <c r="B574" s="5">
        <v>45838.0</v>
      </c>
      <c r="C574" s="4" t="s">
        <v>69</v>
      </c>
      <c r="D574" s="4" t="s">
        <v>19</v>
      </c>
      <c r="E574" s="4" t="s">
        <v>29</v>
      </c>
      <c r="F574" s="4" t="s">
        <v>626</v>
      </c>
      <c r="G574" s="4">
        <v>3.0</v>
      </c>
      <c r="H574" s="6">
        <v>36181.36</v>
      </c>
      <c r="I574" s="6">
        <v>108544.08</v>
      </c>
      <c r="J574" s="6">
        <v>89145.48</v>
      </c>
      <c r="K574" s="6">
        <v>19398.6</v>
      </c>
      <c r="L574" s="4" t="str">
        <f t="shared" si="1"/>
        <v>Jun-2025</v>
      </c>
    </row>
    <row r="575" ht="15.75" customHeight="1">
      <c r="A575" s="4" t="s">
        <v>860</v>
      </c>
      <c r="B575" s="5">
        <v>45839.0</v>
      </c>
      <c r="C575" s="4" t="s">
        <v>75</v>
      </c>
      <c r="D575" s="4" t="s">
        <v>24</v>
      </c>
      <c r="E575" s="4" t="s">
        <v>25</v>
      </c>
      <c r="F575" s="4" t="s">
        <v>575</v>
      </c>
      <c r="G575" s="4">
        <v>6.0</v>
      </c>
      <c r="H575" s="6">
        <v>10712.49</v>
      </c>
      <c r="I575" s="6">
        <v>64274.94</v>
      </c>
      <c r="J575" s="6">
        <v>48525.4</v>
      </c>
      <c r="K575" s="6">
        <v>15749.54</v>
      </c>
      <c r="L575" s="4" t="str">
        <f t="shared" si="1"/>
        <v>Jul-2025</v>
      </c>
    </row>
    <row r="576" ht="15.75" customHeight="1">
      <c r="A576" s="4" t="s">
        <v>861</v>
      </c>
      <c r="B576" s="5">
        <v>45840.0</v>
      </c>
      <c r="C576" s="4" t="s">
        <v>140</v>
      </c>
      <c r="D576" s="4" t="s">
        <v>14</v>
      </c>
      <c r="E576" s="4" t="s">
        <v>25</v>
      </c>
      <c r="F576" s="4" t="s">
        <v>227</v>
      </c>
      <c r="G576" s="4">
        <v>2.0</v>
      </c>
      <c r="H576" s="6">
        <v>825.11</v>
      </c>
      <c r="I576" s="6">
        <v>1650.22</v>
      </c>
      <c r="J576" s="6">
        <v>1145.58</v>
      </c>
      <c r="K576" s="6">
        <v>504.64</v>
      </c>
      <c r="L576" s="4" t="str">
        <f t="shared" si="1"/>
        <v>Jul-2025</v>
      </c>
    </row>
    <row r="577" ht="15.75" customHeight="1">
      <c r="A577" s="4" t="s">
        <v>862</v>
      </c>
      <c r="B577" s="5">
        <v>45840.0</v>
      </c>
      <c r="C577" s="4" t="s">
        <v>35</v>
      </c>
      <c r="D577" s="4" t="s">
        <v>14</v>
      </c>
      <c r="E577" s="4" t="s">
        <v>25</v>
      </c>
      <c r="F577" s="4" t="s">
        <v>863</v>
      </c>
      <c r="G577" s="4">
        <v>5.0</v>
      </c>
      <c r="H577" s="6">
        <v>571.83</v>
      </c>
      <c r="I577" s="6">
        <v>2859.15</v>
      </c>
      <c r="J577" s="6">
        <v>2140.61</v>
      </c>
      <c r="K577" s="6">
        <v>718.54</v>
      </c>
      <c r="L577" s="4" t="str">
        <f t="shared" si="1"/>
        <v>Jul-2025</v>
      </c>
    </row>
    <row r="578" ht="15.75" customHeight="1">
      <c r="A578" s="4" t="s">
        <v>864</v>
      </c>
      <c r="B578" s="5">
        <v>45841.0</v>
      </c>
      <c r="C578" s="4" t="s">
        <v>13</v>
      </c>
      <c r="D578" s="4" t="s">
        <v>14</v>
      </c>
      <c r="E578" s="4" t="s">
        <v>15</v>
      </c>
      <c r="F578" s="4" t="s">
        <v>30</v>
      </c>
      <c r="G578" s="4">
        <v>4.0</v>
      </c>
      <c r="H578" s="6">
        <v>585.98</v>
      </c>
      <c r="I578" s="6">
        <v>2343.92</v>
      </c>
      <c r="J578" s="6">
        <v>1764.55</v>
      </c>
      <c r="K578" s="6">
        <v>579.37</v>
      </c>
      <c r="L578" s="4" t="str">
        <f t="shared" si="1"/>
        <v>Jul-2025</v>
      </c>
    </row>
    <row r="579" ht="15.75" customHeight="1">
      <c r="A579" s="4" t="s">
        <v>865</v>
      </c>
      <c r="B579" s="5">
        <v>45842.0</v>
      </c>
      <c r="C579" s="4" t="s">
        <v>32</v>
      </c>
      <c r="D579" s="4" t="s">
        <v>19</v>
      </c>
      <c r="E579" s="4" t="s">
        <v>15</v>
      </c>
      <c r="F579" s="4" t="s">
        <v>710</v>
      </c>
      <c r="G579" s="4">
        <v>4.0</v>
      </c>
      <c r="H579" s="6">
        <v>73818.99</v>
      </c>
      <c r="I579" s="6">
        <v>295275.96</v>
      </c>
      <c r="J579" s="6">
        <v>244431.56</v>
      </c>
      <c r="K579" s="6">
        <v>50844.4</v>
      </c>
      <c r="L579" s="4" t="str">
        <f t="shared" si="1"/>
        <v>Jul-2025</v>
      </c>
    </row>
    <row r="580" ht="15.75" customHeight="1">
      <c r="A580" s="4" t="s">
        <v>866</v>
      </c>
      <c r="B580" s="5">
        <v>45842.0</v>
      </c>
      <c r="C580" s="4" t="s">
        <v>38</v>
      </c>
      <c r="D580" s="4" t="s">
        <v>19</v>
      </c>
      <c r="E580" s="4" t="s">
        <v>25</v>
      </c>
      <c r="F580" s="4" t="s">
        <v>356</v>
      </c>
      <c r="G580" s="4">
        <v>1.0</v>
      </c>
      <c r="H580" s="6">
        <v>26193.13</v>
      </c>
      <c r="I580" s="6">
        <v>26193.13</v>
      </c>
      <c r="J580" s="6">
        <v>21013.02</v>
      </c>
      <c r="K580" s="6">
        <v>5180.11</v>
      </c>
      <c r="L580" s="4" t="str">
        <f t="shared" si="1"/>
        <v>Jul-2025</v>
      </c>
    </row>
    <row r="581" ht="15.75" customHeight="1">
      <c r="A581" s="4" t="s">
        <v>867</v>
      </c>
      <c r="B581" s="5">
        <v>45842.0</v>
      </c>
      <c r="C581" s="4" t="s">
        <v>69</v>
      </c>
      <c r="D581" s="4" t="s">
        <v>19</v>
      </c>
      <c r="E581" s="4" t="s">
        <v>29</v>
      </c>
      <c r="F581" s="4" t="s">
        <v>227</v>
      </c>
      <c r="G581" s="4">
        <v>3.0</v>
      </c>
      <c r="H581" s="6">
        <v>9217.31</v>
      </c>
      <c r="I581" s="6">
        <v>27651.93</v>
      </c>
      <c r="J581" s="6">
        <v>22131.8</v>
      </c>
      <c r="K581" s="6">
        <v>5520.13</v>
      </c>
      <c r="L581" s="4" t="str">
        <f t="shared" si="1"/>
        <v>Jul-2025</v>
      </c>
    </row>
    <row r="582" ht="15.75" customHeight="1">
      <c r="A582" s="4" t="s">
        <v>868</v>
      </c>
      <c r="B582" s="5">
        <v>45843.0</v>
      </c>
      <c r="C582" s="4" t="s">
        <v>23</v>
      </c>
      <c r="D582" s="4" t="s">
        <v>24</v>
      </c>
      <c r="E582" s="4" t="s">
        <v>20</v>
      </c>
      <c r="F582" s="4" t="s">
        <v>856</v>
      </c>
      <c r="G582" s="4">
        <v>4.0</v>
      </c>
      <c r="H582" s="6">
        <v>15283.03</v>
      </c>
      <c r="I582" s="6">
        <v>61132.12</v>
      </c>
      <c r="J582" s="6">
        <v>45376.55</v>
      </c>
      <c r="K582" s="6">
        <v>15755.57</v>
      </c>
      <c r="L582" s="4" t="str">
        <f t="shared" si="1"/>
        <v>Jul-2025</v>
      </c>
    </row>
    <row r="583" ht="15.75" customHeight="1">
      <c r="A583" s="4" t="s">
        <v>869</v>
      </c>
      <c r="B583" s="5">
        <v>45843.0</v>
      </c>
      <c r="C583" s="4" t="s">
        <v>38</v>
      </c>
      <c r="D583" s="4" t="s">
        <v>19</v>
      </c>
      <c r="E583" s="4" t="s">
        <v>29</v>
      </c>
      <c r="F583" s="4" t="s">
        <v>354</v>
      </c>
      <c r="G583" s="4">
        <v>5.0</v>
      </c>
      <c r="H583" s="6">
        <v>60261.82</v>
      </c>
      <c r="I583" s="6">
        <v>301309.1</v>
      </c>
      <c r="J583" s="6">
        <v>274664.8</v>
      </c>
      <c r="K583" s="6">
        <v>26644.3</v>
      </c>
      <c r="L583" s="4" t="str">
        <f t="shared" si="1"/>
        <v>Jul-2025</v>
      </c>
    </row>
    <row r="584" ht="15.75" customHeight="1">
      <c r="A584" s="4" t="s">
        <v>870</v>
      </c>
      <c r="B584" s="5">
        <v>45843.0</v>
      </c>
      <c r="C584" s="4" t="s">
        <v>140</v>
      </c>
      <c r="D584" s="4" t="s">
        <v>14</v>
      </c>
      <c r="E584" s="4" t="s">
        <v>25</v>
      </c>
      <c r="F584" s="4" t="s">
        <v>175</v>
      </c>
      <c r="G584" s="4">
        <v>4.0</v>
      </c>
      <c r="H584" s="6">
        <v>881.56</v>
      </c>
      <c r="I584" s="6">
        <v>3526.24</v>
      </c>
      <c r="J584" s="6">
        <v>2432.5</v>
      </c>
      <c r="K584" s="6">
        <v>1093.74</v>
      </c>
      <c r="L584" s="4" t="str">
        <f t="shared" si="1"/>
        <v>Jul-2025</v>
      </c>
    </row>
    <row r="585" ht="15.75" customHeight="1">
      <c r="A585" s="4" t="s">
        <v>871</v>
      </c>
      <c r="B585" s="5">
        <v>45843.0</v>
      </c>
      <c r="C585" s="4" t="s">
        <v>109</v>
      </c>
      <c r="D585" s="4" t="s">
        <v>42</v>
      </c>
      <c r="E585" s="4" t="s">
        <v>20</v>
      </c>
      <c r="F585" s="4" t="s">
        <v>559</v>
      </c>
      <c r="G585" s="4">
        <v>5.0</v>
      </c>
      <c r="H585" s="6">
        <v>2060.71</v>
      </c>
      <c r="I585" s="6">
        <v>10303.55</v>
      </c>
      <c r="J585" s="6">
        <v>9015.16</v>
      </c>
      <c r="K585" s="6">
        <v>1288.39</v>
      </c>
      <c r="L585" s="4" t="str">
        <f t="shared" si="1"/>
        <v>Jul-2025</v>
      </c>
    </row>
    <row r="586" ht="15.75" customHeight="1">
      <c r="A586" s="4" t="s">
        <v>872</v>
      </c>
      <c r="B586" s="5">
        <v>45844.0</v>
      </c>
      <c r="C586" s="4" t="s">
        <v>180</v>
      </c>
      <c r="D586" s="4" t="s">
        <v>19</v>
      </c>
      <c r="E586" s="4" t="s">
        <v>25</v>
      </c>
      <c r="F586" s="4" t="s">
        <v>123</v>
      </c>
      <c r="G586" s="4">
        <v>2.0</v>
      </c>
      <c r="H586" s="6">
        <v>54630.47</v>
      </c>
      <c r="I586" s="6">
        <v>109260.94</v>
      </c>
      <c r="J586" s="6">
        <v>99457.27</v>
      </c>
      <c r="K586" s="6">
        <v>9803.67</v>
      </c>
      <c r="L586" s="4" t="str">
        <f t="shared" si="1"/>
        <v>Jul-2025</v>
      </c>
    </row>
    <row r="587" ht="15.75" customHeight="1">
      <c r="A587" s="4" t="s">
        <v>873</v>
      </c>
      <c r="B587" s="5">
        <v>45844.0</v>
      </c>
      <c r="C587" s="4" t="s">
        <v>47</v>
      </c>
      <c r="D587" s="4" t="s">
        <v>14</v>
      </c>
      <c r="E587" s="4" t="s">
        <v>29</v>
      </c>
      <c r="F587" s="4" t="s">
        <v>43</v>
      </c>
      <c r="G587" s="4">
        <v>2.0</v>
      </c>
      <c r="H587" s="6">
        <v>598.43</v>
      </c>
      <c r="I587" s="6">
        <v>1196.86</v>
      </c>
      <c r="J587" s="6">
        <v>976.77</v>
      </c>
      <c r="K587" s="6">
        <v>220.09</v>
      </c>
      <c r="L587" s="4" t="str">
        <f t="shared" si="1"/>
        <v>Jul-2025</v>
      </c>
    </row>
    <row r="588" ht="15.75" customHeight="1">
      <c r="A588" s="4" t="s">
        <v>874</v>
      </c>
      <c r="B588" s="5">
        <v>45844.0</v>
      </c>
      <c r="C588" s="4" t="s">
        <v>160</v>
      </c>
      <c r="D588" s="4" t="s">
        <v>42</v>
      </c>
      <c r="E588" s="4" t="s">
        <v>29</v>
      </c>
      <c r="F588" s="4" t="s">
        <v>875</v>
      </c>
      <c r="G588" s="4">
        <v>4.0</v>
      </c>
      <c r="H588" s="6">
        <v>3108.45</v>
      </c>
      <c r="I588" s="6">
        <v>12433.8</v>
      </c>
      <c r="J588" s="6">
        <v>9783.16</v>
      </c>
      <c r="K588" s="6">
        <v>2650.64</v>
      </c>
      <c r="L588" s="4" t="str">
        <f t="shared" si="1"/>
        <v>Jul-2025</v>
      </c>
    </row>
    <row r="589" ht="15.75" customHeight="1">
      <c r="A589" s="4" t="s">
        <v>876</v>
      </c>
      <c r="B589" s="5">
        <v>45844.0</v>
      </c>
      <c r="C589" s="4" t="s">
        <v>72</v>
      </c>
      <c r="D589" s="4" t="s">
        <v>24</v>
      </c>
      <c r="E589" s="4" t="s">
        <v>29</v>
      </c>
      <c r="F589" s="4" t="s">
        <v>735</v>
      </c>
      <c r="G589" s="4">
        <v>6.0</v>
      </c>
      <c r="H589" s="6">
        <v>5351.3</v>
      </c>
      <c r="I589" s="6">
        <v>32107.8</v>
      </c>
      <c r="J589" s="6">
        <v>24541.46</v>
      </c>
      <c r="K589" s="6">
        <v>7566.34</v>
      </c>
      <c r="L589" s="4" t="str">
        <f t="shared" si="1"/>
        <v>Jul-2025</v>
      </c>
    </row>
    <row r="590" ht="15.75" customHeight="1">
      <c r="A590" s="4" t="s">
        <v>877</v>
      </c>
      <c r="B590" s="5">
        <v>45845.0</v>
      </c>
      <c r="C590" s="4" t="s">
        <v>41</v>
      </c>
      <c r="D590" s="4" t="s">
        <v>42</v>
      </c>
      <c r="E590" s="4" t="s">
        <v>29</v>
      </c>
      <c r="F590" s="4" t="s">
        <v>78</v>
      </c>
      <c r="G590" s="4">
        <v>4.0</v>
      </c>
      <c r="H590" s="6">
        <v>2768.12</v>
      </c>
      <c r="I590" s="6">
        <v>11072.48</v>
      </c>
      <c r="J590" s="6">
        <v>9134.66</v>
      </c>
      <c r="K590" s="6">
        <v>1937.82</v>
      </c>
      <c r="L590" s="4" t="str">
        <f t="shared" si="1"/>
        <v>Jul-2025</v>
      </c>
    </row>
    <row r="591" ht="15.75" customHeight="1">
      <c r="A591" s="4" t="s">
        <v>878</v>
      </c>
      <c r="B591" s="5">
        <v>45845.0</v>
      </c>
      <c r="C591" s="4" t="s">
        <v>69</v>
      </c>
      <c r="D591" s="4" t="s">
        <v>19</v>
      </c>
      <c r="E591" s="4" t="s">
        <v>29</v>
      </c>
      <c r="F591" s="4" t="s">
        <v>735</v>
      </c>
      <c r="G591" s="4">
        <v>7.0</v>
      </c>
      <c r="H591" s="6">
        <v>66083.96</v>
      </c>
      <c r="I591" s="6">
        <v>462587.72</v>
      </c>
      <c r="J591" s="6">
        <v>389571.97</v>
      </c>
      <c r="K591" s="6">
        <v>73015.75</v>
      </c>
      <c r="L591" s="4" t="str">
        <f t="shared" si="1"/>
        <v>Jul-2025</v>
      </c>
    </row>
    <row r="592" ht="15.75" customHeight="1">
      <c r="A592" s="4" t="s">
        <v>879</v>
      </c>
      <c r="B592" s="5">
        <v>45845.0</v>
      </c>
      <c r="C592" s="4" t="s">
        <v>92</v>
      </c>
      <c r="D592" s="4" t="s">
        <v>14</v>
      </c>
      <c r="E592" s="4" t="s">
        <v>29</v>
      </c>
      <c r="F592" s="4" t="s">
        <v>243</v>
      </c>
      <c r="G592" s="4">
        <v>7.0</v>
      </c>
      <c r="H592" s="6">
        <v>493.26</v>
      </c>
      <c r="I592" s="6">
        <v>3452.82</v>
      </c>
      <c r="J592" s="6">
        <v>2650.05</v>
      </c>
      <c r="K592" s="6">
        <v>802.77</v>
      </c>
      <c r="L592" s="4" t="str">
        <f t="shared" si="1"/>
        <v>Jul-2025</v>
      </c>
    </row>
    <row r="593" ht="15.75" customHeight="1">
      <c r="A593" s="4" t="s">
        <v>880</v>
      </c>
      <c r="B593" s="5">
        <v>45845.0</v>
      </c>
      <c r="C593" s="4" t="s">
        <v>160</v>
      </c>
      <c r="D593" s="4" t="s">
        <v>42</v>
      </c>
      <c r="E593" s="4" t="s">
        <v>20</v>
      </c>
      <c r="F593" s="4" t="s">
        <v>607</v>
      </c>
      <c r="G593" s="4">
        <v>6.0</v>
      </c>
      <c r="H593" s="6">
        <v>1380.07</v>
      </c>
      <c r="I593" s="6">
        <v>8280.42</v>
      </c>
      <c r="J593" s="6">
        <v>6273.68</v>
      </c>
      <c r="K593" s="6">
        <v>2006.74</v>
      </c>
      <c r="L593" s="4" t="str">
        <f t="shared" si="1"/>
        <v>Jul-2025</v>
      </c>
    </row>
    <row r="594" ht="15.75" customHeight="1">
      <c r="A594" s="4" t="s">
        <v>881</v>
      </c>
      <c r="B594" s="5">
        <v>45845.0</v>
      </c>
      <c r="C594" s="4" t="s">
        <v>180</v>
      </c>
      <c r="D594" s="4" t="s">
        <v>19</v>
      </c>
      <c r="E594" s="4" t="s">
        <v>25</v>
      </c>
      <c r="F594" s="4" t="s">
        <v>84</v>
      </c>
      <c r="G594" s="4">
        <v>1.0</v>
      </c>
      <c r="H594" s="6">
        <v>19169.29</v>
      </c>
      <c r="I594" s="6">
        <v>19169.29</v>
      </c>
      <c r="J594" s="6">
        <v>15778.6</v>
      </c>
      <c r="K594" s="6">
        <v>3390.69</v>
      </c>
      <c r="L594" s="4" t="str">
        <f t="shared" si="1"/>
        <v>Jul-2025</v>
      </c>
    </row>
    <row r="595" ht="15.75" customHeight="1">
      <c r="A595" s="4" t="s">
        <v>882</v>
      </c>
      <c r="B595" s="5">
        <v>45845.0</v>
      </c>
      <c r="C595" s="4" t="s">
        <v>69</v>
      </c>
      <c r="D595" s="4" t="s">
        <v>19</v>
      </c>
      <c r="E595" s="4" t="s">
        <v>20</v>
      </c>
      <c r="F595" s="4" t="s">
        <v>422</v>
      </c>
      <c r="G595" s="4">
        <v>7.0</v>
      </c>
      <c r="H595" s="6">
        <v>19640.34</v>
      </c>
      <c r="I595" s="6">
        <v>137482.38</v>
      </c>
      <c r="J595" s="6">
        <v>116255.66</v>
      </c>
      <c r="K595" s="6">
        <v>21226.72</v>
      </c>
      <c r="L595" s="4" t="str">
        <f t="shared" si="1"/>
        <v>Jul-2025</v>
      </c>
    </row>
    <row r="596" ht="15.75" customHeight="1">
      <c r="A596" s="4" t="s">
        <v>883</v>
      </c>
      <c r="B596" s="5">
        <v>45845.0</v>
      </c>
      <c r="C596" s="4" t="s">
        <v>38</v>
      </c>
      <c r="D596" s="4" t="s">
        <v>19</v>
      </c>
      <c r="E596" s="4" t="s">
        <v>29</v>
      </c>
      <c r="F596" s="4" t="s">
        <v>150</v>
      </c>
      <c r="G596" s="4">
        <v>7.0</v>
      </c>
      <c r="H596" s="6">
        <v>47152.79</v>
      </c>
      <c r="I596" s="6">
        <v>330069.53</v>
      </c>
      <c r="J596" s="6">
        <v>292472.99</v>
      </c>
      <c r="K596" s="6">
        <v>37596.54</v>
      </c>
      <c r="L596" s="4" t="str">
        <f t="shared" si="1"/>
        <v>Jul-2025</v>
      </c>
    </row>
    <row r="597" ht="15.75" customHeight="1">
      <c r="A597" s="4" t="s">
        <v>884</v>
      </c>
      <c r="B597" s="5">
        <v>45845.0</v>
      </c>
      <c r="C597" s="4" t="s">
        <v>75</v>
      </c>
      <c r="D597" s="4" t="s">
        <v>24</v>
      </c>
      <c r="E597" s="4" t="s">
        <v>25</v>
      </c>
      <c r="F597" s="4" t="s">
        <v>95</v>
      </c>
      <c r="G597" s="4">
        <v>2.0</v>
      </c>
      <c r="H597" s="6">
        <v>15473.31</v>
      </c>
      <c r="I597" s="6">
        <v>30946.62</v>
      </c>
      <c r="J597" s="6">
        <v>25891.36</v>
      </c>
      <c r="K597" s="6">
        <v>5055.26</v>
      </c>
      <c r="L597" s="4" t="str">
        <f t="shared" si="1"/>
        <v>Jul-2025</v>
      </c>
    </row>
    <row r="598" ht="15.75" customHeight="1">
      <c r="A598" s="4" t="s">
        <v>885</v>
      </c>
      <c r="B598" s="5">
        <v>45845.0</v>
      </c>
      <c r="C598" s="4" t="s">
        <v>50</v>
      </c>
      <c r="D598" s="4" t="s">
        <v>42</v>
      </c>
      <c r="E598" s="4" t="s">
        <v>25</v>
      </c>
      <c r="F598" s="4" t="s">
        <v>62</v>
      </c>
      <c r="G598" s="4">
        <v>1.0</v>
      </c>
      <c r="H598" s="6">
        <v>2199.85</v>
      </c>
      <c r="I598" s="6">
        <v>2199.85</v>
      </c>
      <c r="J598" s="6">
        <v>1921.17</v>
      </c>
      <c r="K598" s="6">
        <v>278.68</v>
      </c>
      <c r="L598" s="4" t="str">
        <f t="shared" si="1"/>
        <v>Jul-2025</v>
      </c>
    </row>
    <row r="599" ht="15.75" customHeight="1">
      <c r="A599" s="4" t="s">
        <v>886</v>
      </c>
      <c r="B599" s="5">
        <v>45846.0</v>
      </c>
      <c r="C599" s="4" t="s">
        <v>72</v>
      </c>
      <c r="D599" s="4" t="s">
        <v>24</v>
      </c>
      <c r="E599" s="4" t="s">
        <v>25</v>
      </c>
      <c r="F599" s="4" t="s">
        <v>51</v>
      </c>
      <c r="G599" s="4">
        <v>3.0</v>
      </c>
      <c r="H599" s="6">
        <v>6501.35</v>
      </c>
      <c r="I599" s="6">
        <v>19504.05</v>
      </c>
      <c r="J599" s="6">
        <v>15366.74</v>
      </c>
      <c r="K599" s="6">
        <v>4137.31</v>
      </c>
      <c r="L599" s="4" t="str">
        <f t="shared" si="1"/>
        <v>Jul-2025</v>
      </c>
    </row>
    <row r="600" ht="15.75" customHeight="1">
      <c r="A600" s="4" t="s">
        <v>887</v>
      </c>
      <c r="B600" s="5">
        <v>45846.0</v>
      </c>
      <c r="C600" s="4" t="s">
        <v>75</v>
      </c>
      <c r="D600" s="4" t="s">
        <v>24</v>
      </c>
      <c r="E600" s="4" t="s">
        <v>29</v>
      </c>
      <c r="F600" s="4" t="s">
        <v>683</v>
      </c>
      <c r="G600" s="4">
        <v>3.0</v>
      </c>
      <c r="H600" s="6">
        <v>10072.45</v>
      </c>
      <c r="I600" s="6">
        <v>30217.35</v>
      </c>
      <c r="J600" s="6">
        <v>22887.07</v>
      </c>
      <c r="K600" s="6">
        <v>7330.28</v>
      </c>
      <c r="L600" s="4" t="str">
        <f t="shared" si="1"/>
        <v>Jul-2025</v>
      </c>
    </row>
    <row r="601" ht="15.75" customHeight="1">
      <c r="A601" s="4" t="s">
        <v>888</v>
      </c>
      <c r="B601" s="5">
        <v>45847.0</v>
      </c>
      <c r="C601" s="4" t="s">
        <v>32</v>
      </c>
      <c r="D601" s="4" t="s">
        <v>19</v>
      </c>
      <c r="E601" s="4" t="s">
        <v>25</v>
      </c>
      <c r="F601" s="4" t="s">
        <v>282</v>
      </c>
      <c r="G601" s="4">
        <v>7.0</v>
      </c>
      <c r="H601" s="6">
        <v>52158.37</v>
      </c>
      <c r="I601" s="6">
        <v>365108.59</v>
      </c>
      <c r="J601" s="6">
        <v>333170.71</v>
      </c>
      <c r="K601" s="6">
        <v>31937.88</v>
      </c>
      <c r="L601" s="4" t="str">
        <f t="shared" si="1"/>
        <v>Jul-2025</v>
      </c>
    </row>
    <row r="602" ht="15.75" customHeight="1">
      <c r="A602" s="4" t="s">
        <v>889</v>
      </c>
      <c r="B602" s="5">
        <v>45847.0</v>
      </c>
      <c r="C602" s="4" t="s">
        <v>23</v>
      </c>
      <c r="D602" s="4" t="s">
        <v>24</v>
      </c>
      <c r="E602" s="4" t="s">
        <v>20</v>
      </c>
      <c r="F602" s="4" t="s">
        <v>138</v>
      </c>
      <c r="G602" s="4">
        <v>2.0</v>
      </c>
      <c r="H602" s="6">
        <v>9238.08</v>
      </c>
      <c r="I602" s="6">
        <v>18476.16</v>
      </c>
      <c r="J602" s="6">
        <v>15084.7</v>
      </c>
      <c r="K602" s="6">
        <v>3391.46</v>
      </c>
      <c r="L602" s="4" t="str">
        <f t="shared" si="1"/>
        <v>Jul-2025</v>
      </c>
    </row>
    <row r="603" ht="15.75" customHeight="1">
      <c r="A603" s="4" t="s">
        <v>890</v>
      </c>
      <c r="B603" s="5">
        <v>45847.0</v>
      </c>
      <c r="C603" s="4" t="s">
        <v>160</v>
      </c>
      <c r="D603" s="4" t="s">
        <v>42</v>
      </c>
      <c r="E603" s="4" t="s">
        <v>29</v>
      </c>
      <c r="F603" s="4" t="s">
        <v>891</v>
      </c>
      <c r="G603" s="4">
        <v>4.0</v>
      </c>
      <c r="H603" s="6">
        <v>718.52</v>
      </c>
      <c r="I603" s="6">
        <v>2874.08</v>
      </c>
      <c r="J603" s="6">
        <v>2365.65</v>
      </c>
      <c r="K603" s="6">
        <v>508.43</v>
      </c>
      <c r="L603" s="4" t="str">
        <f t="shared" si="1"/>
        <v>Jul-2025</v>
      </c>
    </row>
    <row r="604" ht="15.75" customHeight="1">
      <c r="A604" s="4" t="s">
        <v>892</v>
      </c>
      <c r="B604" s="5">
        <v>45848.0</v>
      </c>
      <c r="C604" s="4" t="s">
        <v>47</v>
      </c>
      <c r="D604" s="4" t="s">
        <v>14</v>
      </c>
      <c r="E604" s="4" t="s">
        <v>25</v>
      </c>
      <c r="F604" s="4" t="s">
        <v>219</v>
      </c>
      <c r="G604" s="4">
        <v>1.0</v>
      </c>
      <c r="H604" s="6">
        <v>1309.47</v>
      </c>
      <c r="I604" s="6">
        <v>1309.47</v>
      </c>
      <c r="J604" s="6">
        <v>1110.34</v>
      </c>
      <c r="K604" s="6">
        <v>199.13</v>
      </c>
      <c r="L604" s="4" t="str">
        <f t="shared" si="1"/>
        <v>Jul-2025</v>
      </c>
    </row>
    <row r="605" ht="15.75" customHeight="1">
      <c r="A605" s="4" t="s">
        <v>893</v>
      </c>
      <c r="B605" s="5">
        <v>45848.0</v>
      </c>
      <c r="C605" s="4" t="s">
        <v>38</v>
      </c>
      <c r="D605" s="4" t="s">
        <v>19</v>
      </c>
      <c r="E605" s="4" t="s">
        <v>25</v>
      </c>
      <c r="F605" s="4" t="s">
        <v>59</v>
      </c>
      <c r="G605" s="4">
        <v>7.0</v>
      </c>
      <c r="H605" s="6">
        <v>11873.44</v>
      </c>
      <c r="I605" s="6">
        <v>83114.08</v>
      </c>
      <c r="J605" s="6">
        <v>75196.3</v>
      </c>
      <c r="K605" s="6">
        <v>7917.78</v>
      </c>
      <c r="L605" s="4" t="str">
        <f t="shared" si="1"/>
        <v>Jul-2025</v>
      </c>
    </row>
    <row r="606" ht="15.75" customHeight="1">
      <c r="A606" s="4" t="s">
        <v>894</v>
      </c>
      <c r="B606" s="5">
        <v>45848.0</v>
      </c>
      <c r="C606" s="4" t="s">
        <v>140</v>
      </c>
      <c r="D606" s="4" t="s">
        <v>14</v>
      </c>
      <c r="E606" s="4" t="s">
        <v>25</v>
      </c>
      <c r="F606" s="4" t="s">
        <v>270</v>
      </c>
      <c r="G606" s="4">
        <v>3.0</v>
      </c>
      <c r="H606" s="6">
        <v>515.36</v>
      </c>
      <c r="I606" s="6">
        <v>1546.08</v>
      </c>
      <c r="J606" s="6">
        <v>1097.65</v>
      </c>
      <c r="K606" s="6">
        <v>448.43</v>
      </c>
      <c r="L606" s="4" t="str">
        <f t="shared" si="1"/>
        <v>Jul-2025</v>
      </c>
    </row>
    <row r="607" ht="15.75" customHeight="1">
      <c r="A607" s="4" t="s">
        <v>895</v>
      </c>
      <c r="B607" s="5">
        <v>45849.0</v>
      </c>
      <c r="C607" s="4" t="s">
        <v>75</v>
      </c>
      <c r="D607" s="4" t="s">
        <v>24</v>
      </c>
      <c r="E607" s="4" t="s">
        <v>15</v>
      </c>
      <c r="F607" s="4" t="s">
        <v>323</v>
      </c>
      <c r="G607" s="4">
        <v>3.0</v>
      </c>
      <c r="H607" s="6">
        <v>6556.17</v>
      </c>
      <c r="I607" s="6">
        <v>19668.51</v>
      </c>
      <c r="J607" s="6">
        <v>15167.57</v>
      </c>
      <c r="K607" s="6">
        <v>4500.94</v>
      </c>
      <c r="L607" s="4" t="str">
        <f t="shared" si="1"/>
        <v>Jul-2025</v>
      </c>
    </row>
    <row r="608" ht="15.75" customHeight="1">
      <c r="A608" s="4" t="s">
        <v>896</v>
      </c>
      <c r="B608" s="5">
        <v>45849.0</v>
      </c>
      <c r="C608" s="4" t="s">
        <v>38</v>
      </c>
      <c r="D608" s="4" t="s">
        <v>19</v>
      </c>
      <c r="E608" s="4" t="s">
        <v>15</v>
      </c>
      <c r="F608" s="4" t="s">
        <v>133</v>
      </c>
      <c r="G608" s="4">
        <v>6.0</v>
      </c>
      <c r="H608" s="6">
        <v>53376.04</v>
      </c>
      <c r="I608" s="6">
        <v>320256.24</v>
      </c>
      <c r="J608" s="6">
        <v>276435.94</v>
      </c>
      <c r="K608" s="6">
        <v>43820.3</v>
      </c>
      <c r="L608" s="4" t="str">
        <f t="shared" si="1"/>
        <v>Jul-2025</v>
      </c>
    </row>
    <row r="609" ht="15.75" customHeight="1">
      <c r="A609" s="4" t="s">
        <v>897</v>
      </c>
      <c r="B609" s="5">
        <v>45849.0</v>
      </c>
      <c r="C609" s="4" t="s">
        <v>23</v>
      </c>
      <c r="D609" s="4" t="s">
        <v>24</v>
      </c>
      <c r="E609" s="4" t="s">
        <v>25</v>
      </c>
      <c r="F609" s="4" t="s">
        <v>129</v>
      </c>
      <c r="G609" s="4">
        <v>6.0</v>
      </c>
      <c r="H609" s="6">
        <v>1792.15</v>
      </c>
      <c r="I609" s="6">
        <v>10752.9</v>
      </c>
      <c r="J609" s="6">
        <v>8647.04</v>
      </c>
      <c r="K609" s="6">
        <v>2105.86</v>
      </c>
      <c r="L609" s="4" t="str">
        <f t="shared" si="1"/>
        <v>Jul-2025</v>
      </c>
    </row>
    <row r="610" ht="15.75" customHeight="1">
      <c r="A610" s="4" t="s">
        <v>898</v>
      </c>
      <c r="B610" s="5">
        <v>45850.0</v>
      </c>
      <c r="C610" s="4" t="s">
        <v>61</v>
      </c>
      <c r="D610" s="4" t="s">
        <v>19</v>
      </c>
      <c r="E610" s="4" t="s">
        <v>20</v>
      </c>
      <c r="F610" s="4" t="s">
        <v>497</v>
      </c>
      <c r="G610" s="4">
        <v>7.0</v>
      </c>
      <c r="H610" s="6">
        <v>40545.98</v>
      </c>
      <c r="I610" s="6">
        <v>283821.86</v>
      </c>
      <c r="J610" s="6">
        <v>232014.55</v>
      </c>
      <c r="K610" s="6">
        <v>51807.31</v>
      </c>
      <c r="L610" s="4" t="str">
        <f t="shared" si="1"/>
        <v>Jul-2025</v>
      </c>
    </row>
    <row r="611" ht="15.75" customHeight="1">
      <c r="A611" s="4" t="s">
        <v>899</v>
      </c>
      <c r="B611" s="5">
        <v>45850.0</v>
      </c>
      <c r="C611" s="4" t="s">
        <v>28</v>
      </c>
      <c r="D611" s="4" t="s">
        <v>14</v>
      </c>
      <c r="E611" s="4" t="s">
        <v>20</v>
      </c>
      <c r="F611" s="4" t="s">
        <v>735</v>
      </c>
      <c r="G611" s="4">
        <v>4.0</v>
      </c>
      <c r="H611" s="6">
        <v>111.4</v>
      </c>
      <c r="I611" s="6">
        <v>445.6</v>
      </c>
      <c r="J611" s="6">
        <v>306.89</v>
      </c>
      <c r="K611" s="6">
        <v>138.71</v>
      </c>
      <c r="L611" s="4" t="str">
        <f t="shared" si="1"/>
        <v>Jul-2025</v>
      </c>
    </row>
    <row r="612" ht="15.75" customHeight="1">
      <c r="A612" s="4" t="s">
        <v>900</v>
      </c>
      <c r="B612" s="5">
        <v>45850.0</v>
      </c>
      <c r="C612" s="4" t="s">
        <v>180</v>
      </c>
      <c r="D612" s="4" t="s">
        <v>19</v>
      </c>
      <c r="E612" s="4" t="s">
        <v>29</v>
      </c>
      <c r="F612" s="4" t="s">
        <v>596</v>
      </c>
      <c r="G612" s="4">
        <v>7.0</v>
      </c>
      <c r="H612" s="6">
        <v>69315.14</v>
      </c>
      <c r="I612" s="6">
        <v>485205.98</v>
      </c>
      <c r="J612" s="6">
        <v>422089.54</v>
      </c>
      <c r="K612" s="6">
        <v>63116.44</v>
      </c>
      <c r="L612" s="4" t="str">
        <f t="shared" si="1"/>
        <v>Jul-2025</v>
      </c>
    </row>
    <row r="613" ht="15.75" customHeight="1">
      <c r="A613" s="4" t="s">
        <v>901</v>
      </c>
      <c r="B613" s="5">
        <v>45851.0</v>
      </c>
      <c r="C613" s="4" t="s">
        <v>69</v>
      </c>
      <c r="D613" s="4" t="s">
        <v>19</v>
      </c>
      <c r="E613" s="4" t="s">
        <v>15</v>
      </c>
      <c r="F613" s="4" t="s">
        <v>213</v>
      </c>
      <c r="G613" s="4">
        <v>3.0</v>
      </c>
      <c r="H613" s="6">
        <v>40181.69</v>
      </c>
      <c r="I613" s="6">
        <v>120545.07</v>
      </c>
      <c r="J613" s="6">
        <v>102369.27</v>
      </c>
      <c r="K613" s="6">
        <v>18175.8</v>
      </c>
      <c r="L613" s="4" t="str">
        <f t="shared" si="1"/>
        <v>Jul-2025</v>
      </c>
    </row>
    <row r="614" ht="15.75" customHeight="1">
      <c r="A614" s="4" t="s">
        <v>902</v>
      </c>
      <c r="B614" s="5">
        <v>45852.0</v>
      </c>
      <c r="C614" s="4" t="s">
        <v>38</v>
      </c>
      <c r="D614" s="4" t="s">
        <v>19</v>
      </c>
      <c r="E614" s="4" t="s">
        <v>25</v>
      </c>
      <c r="F614" s="4" t="s">
        <v>546</v>
      </c>
      <c r="G614" s="4">
        <v>2.0</v>
      </c>
      <c r="H614" s="6">
        <v>66806.59</v>
      </c>
      <c r="I614" s="6">
        <v>133613.18</v>
      </c>
      <c r="J614" s="6">
        <v>107789.57</v>
      </c>
      <c r="K614" s="6">
        <v>25823.61</v>
      </c>
      <c r="L614" s="4" t="str">
        <f t="shared" si="1"/>
        <v>Jul-2025</v>
      </c>
    </row>
    <row r="615" ht="15.75" customHeight="1">
      <c r="A615" s="4" t="s">
        <v>903</v>
      </c>
      <c r="B615" s="5">
        <v>45852.0</v>
      </c>
      <c r="C615" s="4" t="s">
        <v>69</v>
      </c>
      <c r="D615" s="4" t="s">
        <v>19</v>
      </c>
      <c r="E615" s="4" t="s">
        <v>15</v>
      </c>
      <c r="F615" s="4" t="s">
        <v>340</v>
      </c>
      <c r="G615" s="4">
        <v>6.0</v>
      </c>
      <c r="H615" s="6">
        <v>64882.17</v>
      </c>
      <c r="I615" s="6">
        <v>389293.02</v>
      </c>
      <c r="J615" s="6">
        <v>311583.48</v>
      </c>
      <c r="K615" s="6">
        <v>77709.54</v>
      </c>
      <c r="L615" s="4" t="str">
        <f t="shared" si="1"/>
        <v>Jul-2025</v>
      </c>
    </row>
    <row r="616" ht="15.75" customHeight="1">
      <c r="A616" s="4" t="s">
        <v>904</v>
      </c>
      <c r="B616" s="5">
        <v>45853.0</v>
      </c>
      <c r="C616" s="4" t="s">
        <v>75</v>
      </c>
      <c r="D616" s="4" t="s">
        <v>24</v>
      </c>
      <c r="E616" s="4" t="s">
        <v>29</v>
      </c>
      <c r="F616" s="4" t="s">
        <v>354</v>
      </c>
      <c r="G616" s="4">
        <v>5.0</v>
      </c>
      <c r="H616" s="6">
        <v>2538.4</v>
      </c>
      <c r="I616" s="6">
        <v>12692.0</v>
      </c>
      <c r="J616" s="6">
        <v>10822.64</v>
      </c>
      <c r="K616" s="6">
        <v>1869.36</v>
      </c>
      <c r="L616" s="4" t="str">
        <f t="shared" si="1"/>
        <v>Jul-2025</v>
      </c>
    </row>
    <row r="617" ht="15.75" customHeight="1">
      <c r="A617" s="4" t="s">
        <v>905</v>
      </c>
      <c r="B617" s="5">
        <v>45853.0</v>
      </c>
      <c r="C617" s="4" t="s">
        <v>38</v>
      </c>
      <c r="D617" s="4" t="s">
        <v>19</v>
      </c>
      <c r="E617" s="4" t="s">
        <v>29</v>
      </c>
      <c r="F617" s="4" t="s">
        <v>891</v>
      </c>
      <c r="G617" s="4">
        <v>7.0</v>
      </c>
      <c r="H617" s="6">
        <v>58112.9</v>
      </c>
      <c r="I617" s="6">
        <v>406790.3</v>
      </c>
      <c r="J617" s="6">
        <v>337085.54</v>
      </c>
      <c r="K617" s="6">
        <v>69704.76</v>
      </c>
      <c r="L617" s="4" t="str">
        <f t="shared" si="1"/>
        <v>Jul-2025</v>
      </c>
    </row>
    <row r="618" ht="15.75" customHeight="1">
      <c r="A618" s="4" t="s">
        <v>906</v>
      </c>
      <c r="B618" s="5">
        <v>45853.0</v>
      </c>
      <c r="C618" s="4" t="s">
        <v>140</v>
      </c>
      <c r="D618" s="4" t="s">
        <v>14</v>
      </c>
      <c r="E618" s="4" t="s">
        <v>25</v>
      </c>
      <c r="F618" s="4" t="s">
        <v>343</v>
      </c>
      <c r="G618" s="4">
        <v>7.0</v>
      </c>
      <c r="H618" s="6">
        <v>733.48</v>
      </c>
      <c r="I618" s="6">
        <v>5134.36</v>
      </c>
      <c r="J618" s="6">
        <v>4141.83</v>
      </c>
      <c r="K618" s="6">
        <v>992.53</v>
      </c>
      <c r="L618" s="4" t="str">
        <f t="shared" si="1"/>
        <v>Jul-2025</v>
      </c>
    </row>
    <row r="619" ht="15.75" customHeight="1">
      <c r="A619" s="4" t="s">
        <v>907</v>
      </c>
      <c r="B619" s="5">
        <v>45853.0</v>
      </c>
      <c r="C619" s="4" t="s">
        <v>47</v>
      </c>
      <c r="D619" s="4" t="s">
        <v>14</v>
      </c>
      <c r="E619" s="4" t="s">
        <v>15</v>
      </c>
      <c r="F619" s="4" t="s">
        <v>422</v>
      </c>
      <c r="G619" s="4">
        <v>3.0</v>
      </c>
      <c r="H619" s="6">
        <v>294.84</v>
      </c>
      <c r="I619" s="6">
        <v>884.52</v>
      </c>
      <c r="J619" s="6">
        <v>680.35</v>
      </c>
      <c r="K619" s="6">
        <v>204.17</v>
      </c>
      <c r="L619" s="4" t="str">
        <f t="shared" si="1"/>
        <v>Jul-2025</v>
      </c>
    </row>
    <row r="620" ht="15.75" customHeight="1">
      <c r="A620" s="4" t="s">
        <v>908</v>
      </c>
      <c r="B620" s="5">
        <v>45854.0</v>
      </c>
      <c r="C620" s="4" t="s">
        <v>41</v>
      </c>
      <c r="D620" s="4" t="s">
        <v>42</v>
      </c>
      <c r="E620" s="4" t="s">
        <v>20</v>
      </c>
      <c r="F620" s="4" t="s">
        <v>820</v>
      </c>
      <c r="G620" s="4">
        <v>4.0</v>
      </c>
      <c r="H620" s="6">
        <v>835.19</v>
      </c>
      <c r="I620" s="6">
        <v>3340.76</v>
      </c>
      <c r="J620" s="6">
        <v>2649.91</v>
      </c>
      <c r="K620" s="6">
        <v>690.85</v>
      </c>
      <c r="L620" s="4" t="str">
        <f t="shared" si="1"/>
        <v>Jul-2025</v>
      </c>
    </row>
    <row r="621" ht="15.75" customHeight="1">
      <c r="A621" s="4" t="s">
        <v>909</v>
      </c>
      <c r="B621" s="5">
        <v>45854.0</v>
      </c>
      <c r="C621" s="4" t="s">
        <v>23</v>
      </c>
      <c r="D621" s="4" t="s">
        <v>24</v>
      </c>
      <c r="E621" s="4" t="s">
        <v>20</v>
      </c>
      <c r="F621" s="4" t="s">
        <v>910</v>
      </c>
      <c r="G621" s="4">
        <v>4.0</v>
      </c>
      <c r="H621" s="6">
        <v>11136.15</v>
      </c>
      <c r="I621" s="6">
        <v>44544.6</v>
      </c>
      <c r="J621" s="6">
        <v>35323.6</v>
      </c>
      <c r="K621" s="6">
        <v>9221.0</v>
      </c>
      <c r="L621" s="4" t="str">
        <f t="shared" si="1"/>
        <v>Jul-2025</v>
      </c>
    </row>
    <row r="622" ht="15.75" customHeight="1">
      <c r="A622" s="4" t="s">
        <v>911</v>
      </c>
      <c r="B622" s="5">
        <v>45854.0</v>
      </c>
      <c r="C622" s="4" t="s">
        <v>109</v>
      </c>
      <c r="D622" s="4" t="s">
        <v>42</v>
      </c>
      <c r="E622" s="4" t="s">
        <v>20</v>
      </c>
      <c r="F622" s="4" t="s">
        <v>21</v>
      </c>
      <c r="G622" s="4">
        <v>2.0</v>
      </c>
      <c r="H622" s="6">
        <v>3746.56</v>
      </c>
      <c r="I622" s="6">
        <v>7493.12</v>
      </c>
      <c r="J622" s="6">
        <v>6627.74</v>
      </c>
      <c r="K622" s="6">
        <v>865.38</v>
      </c>
      <c r="L622" s="4" t="str">
        <f t="shared" si="1"/>
        <v>Jul-2025</v>
      </c>
    </row>
    <row r="623" ht="15.75" customHeight="1">
      <c r="A623" s="4" t="s">
        <v>912</v>
      </c>
      <c r="B623" s="5">
        <v>45855.0</v>
      </c>
      <c r="C623" s="4" t="s">
        <v>35</v>
      </c>
      <c r="D623" s="4" t="s">
        <v>14</v>
      </c>
      <c r="E623" s="4" t="s">
        <v>25</v>
      </c>
      <c r="F623" s="4" t="s">
        <v>427</v>
      </c>
      <c r="G623" s="4">
        <v>5.0</v>
      </c>
      <c r="H623" s="6">
        <v>1122.39</v>
      </c>
      <c r="I623" s="6">
        <v>5611.95</v>
      </c>
      <c r="J623" s="6">
        <v>4741.2</v>
      </c>
      <c r="K623" s="6">
        <v>870.75</v>
      </c>
      <c r="L623" s="4" t="str">
        <f t="shared" si="1"/>
        <v>Jul-2025</v>
      </c>
    </row>
    <row r="624" ht="15.75" customHeight="1">
      <c r="A624" s="4" t="s">
        <v>913</v>
      </c>
      <c r="B624" s="5">
        <v>45855.0</v>
      </c>
      <c r="C624" s="4" t="s">
        <v>41</v>
      </c>
      <c r="D624" s="4" t="s">
        <v>42</v>
      </c>
      <c r="E624" s="4" t="s">
        <v>29</v>
      </c>
      <c r="F624" s="4" t="s">
        <v>227</v>
      </c>
      <c r="G624" s="4">
        <v>7.0</v>
      </c>
      <c r="H624" s="6">
        <v>800.6</v>
      </c>
      <c r="I624" s="6">
        <v>5604.2</v>
      </c>
      <c r="J624" s="6">
        <v>5000.16</v>
      </c>
      <c r="K624" s="6">
        <v>604.04</v>
      </c>
      <c r="L624" s="4" t="str">
        <f t="shared" si="1"/>
        <v>Jul-2025</v>
      </c>
    </row>
    <row r="625" ht="15.75" customHeight="1">
      <c r="A625" s="4" t="s">
        <v>914</v>
      </c>
      <c r="B625" s="5">
        <v>45855.0</v>
      </c>
      <c r="C625" s="4" t="s">
        <v>72</v>
      </c>
      <c r="D625" s="4" t="s">
        <v>24</v>
      </c>
      <c r="E625" s="4" t="s">
        <v>25</v>
      </c>
      <c r="F625" s="4" t="s">
        <v>297</v>
      </c>
      <c r="G625" s="4">
        <v>7.0</v>
      </c>
      <c r="H625" s="6">
        <v>2262.01</v>
      </c>
      <c r="I625" s="6">
        <v>15834.07</v>
      </c>
      <c r="J625" s="6">
        <v>13121.3</v>
      </c>
      <c r="K625" s="6">
        <v>2712.77</v>
      </c>
      <c r="L625" s="4" t="str">
        <f t="shared" si="1"/>
        <v>Jul-2025</v>
      </c>
    </row>
    <row r="626" ht="15.75" customHeight="1">
      <c r="A626" s="4" t="s">
        <v>915</v>
      </c>
      <c r="B626" s="5">
        <v>45855.0</v>
      </c>
      <c r="C626" s="4" t="s">
        <v>69</v>
      </c>
      <c r="D626" s="4" t="s">
        <v>19</v>
      </c>
      <c r="E626" s="4" t="s">
        <v>15</v>
      </c>
      <c r="F626" s="4" t="s">
        <v>510</v>
      </c>
      <c r="G626" s="4">
        <v>1.0</v>
      </c>
      <c r="H626" s="6">
        <v>50147.15</v>
      </c>
      <c r="I626" s="6">
        <v>50147.15</v>
      </c>
      <c r="J626" s="6">
        <v>42786.08</v>
      </c>
      <c r="K626" s="6">
        <v>7361.07</v>
      </c>
      <c r="L626" s="4" t="str">
        <f t="shared" si="1"/>
        <v>Jul-2025</v>
      </c>
    </row>
    <row r="627" ht="15.75" customHeight="1">
      <c r="A627" s="4" t="s">
        <v>916</v>
      </c>
      <c r="B627" s="5">
        <v>45856.0</v>
      </c>
      <c r="C627" s="4" t="s">
        <v>32</v>
      </c>
      <c r="D627" s="4" t="s">
        <v>19</v>
      </c>
      <c r="E627" s="4" t="s">
        <v>25</v>
      </c>
      <c r="F627" s="4" t="s">
        <v>30</v>
      </c>
      <c r="G627" s="4">
        <v>2.0</v>
      </c>
      <c r="H627" s="6">
        <v>39511.02</v>
      </c>
      <c r="I627" s="6">
        <v>79022.04</v>
      </c>
      <c r="J627" s="6">
        <v>70209.47</v>
      </c>
      <c r="K627" s="6">
        <v>8812.57</v>
      </c>
      <c r="L627" s="4" t="str">
        <f t="shared" si="1"/>
        <v>Jul-2025</v>
      </c>
    </row>
    <row r="628" ht="15.75" customHeight="1">
      <c r="A628" s="4" t="s">
        <v>917</v>
      </c>
      <c r="B628" s="5">
        <v>45856.0</v>
      </c>
      <c r="C628" s="4" t="s">
        <v>180</v>
      </c>
      <c r="D628" s="4" t="s">
        <v>19</v>
      </c>
      <c r="E628" s="4" t="s">
        <v>25</v>
      </c>
      <c r="F628" s="4" t="s">
        <v>55</v>
      </c>
      <c r="G628" s="4">
        <v>2.0</v>
      </c>
      <c r="H628" s="6">
        <v>18922.14</v>
      </c>
      <c r="I628" s="6">
        <v>37844.28</v>
      </c>
      <c r="J628" s="6">
        <v>32272.0</v>
      </c>
      <c r="K628" s="6">
        <v>5572.28</v>
      </c>
      <c r="L628" s="4" t="str">
        <f t="shared" si="1"/>
        <v>Jul-2025</v>
      </c>
    </row>
    <row r="629" ht="15.75" customHeight="1">
      <c r="A629" s="4" t="s">
        <v>918</v>
      </c>
      <c r="B629" s="5">
        <v>45856.0</v>
      </c>
      <c r="C629" s="4" t="s">
        <v>35</v>
      </c>
      <c r="D629" s="4" t="s">
        <v>14</v>
      </c>
      <c r="E629" s="4" t="s">
        <v>25</v>
      </c>
      <c r="F629" s="4" t="s">
        <v>48</v>
      </c>
      <c r="G629" s="4">
        <v>5.0</v>
      </c>
      <c r="H629" s="6">
        <v>1308.17</v>
      </c>
      <c r="I629" s="6">
        <v>6540.85</v>
      </c>
      <c r="J629" s="6">
        <v>4696.99</v>
      </c>
      <c r="K629" s="6">
        <v>1843.86</v>
      </c>
      <c r="L629" s="4" t="str">
        <f t="shared" si="1"/>
        <v>Jul-2025</v>
      </c>
    </row>
    <row r="630" ht="15.75" customHeight="1">
      <c r="A630" s="4" t="s">
        <v>919</v>
      </c>
      <c r="B630" s="5">
        <v>45857.0</v>
      </c>
      <c r="C630" s="4" t="s">
        <v>23</v>
      </c>
      <c r="D630" s="4" t="s">
        <v>24</v>
      </c>
      <c r="E630" s="4" t="s">
        <v>29</v>
      </c>
      <c r="F630" s="4" t="s">
        <v>668</v>
      </c>
      <c r="G630" s="4">
        <v>5.0</v>
      </c>
      <c r="H630" s="6">
        <v>11710.94</v>
      </c>
      <c r="I630" s="6">
        <v>58554.7</v>
      </c>
      <c r="J630" s="6">
        <v>48732.68</v>
      </c>
      <c r="K630" s="6">
        <v>9822.02</v>
      </c>
      <c r="L630" s="4" t="str">
        <f t="shared" si="1"/>
        <v>Jul-2025</v>
      </c>
    </row>
    <row r="631" ht="15.75" customHeight="1">
      <c r="A631" s="4" t="s">
        <v>920</v>
      </c>
      <c r="B631" s="5">
        <v>45857.0</v>
      </c>
      <c r="C631" s="4" t="s">
        <v>75</v>
      </c>
      <c r="D631" s="4" t="s">
        <v>24</v>
      </c>
      <c r="E631" s="4" t="s">
        <v>25</v>
      </c>
      <c r="F631" s="4" t="s">
        <v>181</v>
      </c>
      <c r="G631" s="4">
        <v>2.0</v>
      </c>
      <c r="H631" s="6">
        <v>4410.13</v>
      </c>
      <c r="I631" s="6">
        <v>8820.26</v>
      </c>
      <c r="J631" s="6">
        <v>6503.77</v>
      </c>
      <c r="K631" s="6">
        <v>2316.49</v>
      </c>
      <c r="L631" s="4" t="str">
        <f t="shared" si="1"/>
        <v>Jul-2025</v>
      </c>
    </row>
    <row r="632" ht="15.75" customHeight="1">
      <c r="A632" s="4" t="s">
        <v>921</v>
      </c>
      <c r="B632" s="5">
        <v>45857.0</v>
      </c>
      <c r="C632" s="4" t="s">
        <v>13</v>
      </c>
      <c r="D632" s="4" t="s">
        <v>14</v>
      </c>
      <c r="E632" s="4" t="s">
        <v>15</v>
      </c>
      <c r="F632" s="4" t="s">
        <v>735</v>
      </c>
      <c r="G632" s="4">
        <v>7.0</v>
      </c>
      <c r="H632" s="6">
        <v>814.48</v>
      </c>
      <c r="I632" s="6">
        <v>5701.36</v>
      </c>
      <c r="J632" s="6">
        <v>4518.05</v>
      </c>
      <c r="K632" s="6">
        <v>1183.31</v>
      </c>
      <c r="L632" s="4" t="str">
        <f t="shared" si="1"/>
        <v>Jul-2025</v>
      </c>
    </row>
    <row r="633" ht="15.75" customHeight="1">
      <c r="A633" s="4" t="s">
        <v>922</v>
      </c>
      <c r="B633" s="5">
        <v>45857.0</v>
      </c>
      <c r="C633" s="4" t="s">
        <v>109</v>
      </c>
      <c r="D633" s="4" t="s">
        <v>42</v>
      </c>
      <c r="E633" s="4" t="s">
        <v>15</v>
      </c>
      <c r="F633" s="4" t="s">
        <v>315</v>
      </c>
      <c r="G633" s="4">
        <v>6.0</v>
      </c>
      <c r="H633" s="6">
        <v>886.41</v>
      </c>
      <c r="I633" s="6">
        <v>5318.46</v>
      </c>
      <c r="J633" s="6">
        <v>4717.19</v>
      </c>
      <c r="K633" s="6">
        <v>601.27</v>
      </c>
      <c r="L633" s="4" t="str">
        <f t="shared" si="1"/>
        <v>Jul-2025</v>
      </c>
    </row>
    <row r="634" ht="15.75" customHeight="1">
      <c r="A634" s="4" t="s">
        <v>923</v>
      </c>
      <c r="B634" s="5">
        <v>45858.0</v>
      </c>
      <c r="C634" s="4" t="s">
        <v>47</v>
      </c>
      <c r="D634" s="4" t="s">
        <v>14</v>
      </c>
      <c r="E634" s="4" t="s">
        <v>25</v>
      </c>
      <c r="F634" s="4" t="s">
        <v>452</v>
      </c>
      <c r="G634" s="4">
        <v>7.0</v>
      </c>
      <c r="H634" s="6">
        <v>653.61</v>
      </c>
      <c r="I634" s="6">
        <v>4575.27</v>
      </c>
      <c r="J634" s="6">
        <v>3833.18</v>
      </c>
      <c r="K634" s="6">
        <v>742.09</v>
      </c>
      <c r="L634" s="4" t="str">
        <f t="shared" si="1"/>
        <v>Jul-2025</v>
      </c>
    </row>
    <row r="635" ht="15.75" customHeight="1">
      <c r="A635" s="4" t="s">
        <v>924</v>
      </c>
      <c r="B635" s="5">
        <v>45858.0</v>
      </c>
      <c r="C635" s="4" t="s">
        <v>155</v>
      </c>
      <c r="D635" s="4" t="s">
        <v>24</v>
      </c>
      <c r="E635" s="4" t="s">
        <v>15</v>
      </c>
      <c r="F635" s="4" t="s">
        <v>727</v>
      </c>
      <c r="G635" s="4">
        <v>2.0</v>
      </c>
      <c r="H635" s="6">
        <v>10274.3</v>
      </c>
      <c r="I635" s="6">
        <v>20548.6</v>
      </c>
      <c r="J635" s="6">
        <v>15792.81</v>
      </c>
      <c r="K635" s="6">
        <v>4755.79</v>
      </c>
      <c r="L635" s="4" t="str">
        <f t="shared" si="1"/>
        <v>Jul-2025</v>
      </c>
    </row>
    <row r="636" ht="15.75" customHeight="1">
      <c r="A636" s="4" t="s">
        <v>925</v>
      </c>
      <c r="B636" s="5">
        <v>45858.0</v>
      </c>
      <c r="C636" s="4" t="s">
        <v>23</v>
      </c>
      <c r="D636" s="4" t="s">
        <v>24</v>
      </c>
      <c r="E636" s="4" t="s">
        <v>29</v>
      </c>
      <c r="F636" s="4" t="s">
        <v>926</v>
      </c>
      <c r="G636" s="4">
        <v>4.0</v>
      </c>
      <c r="H636" s="6">
        <v>15725.94</v>
      </c>
      <c r="I636" s="6">
        <v>62903.76</v>
      </c>
      <c r="J636" s="6">
        <v>45735.32</v>
      </c>
      <c r="K636" s="6">
        <v>17168.44</v>
      </c>
      <c r="L636" s="4" t="str">
        <f t="shared" si="1"/>
        <v>Jul-2025</v>
      </c>
    </row>
    <row r="637" ht="15.75" customHeight="1">
      <c r="A637" s="4" t="s">
        <v>927</v>
      </c>
      <c r="B637" s="5">
        <v>45858.0</v>
      </c>
      <c r="C637" s="4" t="s">
        <v>61</v>
      </c>
      <c r="D637" s="4" t="s">
        <v>19</v>
      </c>
      <c r="E637" s="4" t="s">
        <v>29</v>
      </c>
      <c r="F637" s="4" t="s">
        <v>315</v>
      </c>
      <c r="G637" s="4">
        <v>4.0</v>
      </c>
      <c r="H637" s="6">
        <v>60936.85</v>
      </c>
      <c r="I637" s="6">
        <v>243747.4</v>
      </c>
      <c r="J637" s="6">
        <v>200027.12</v>
      </c>
      <c r="K637" s="6">
        <v>43720.28</v>
      </c>
      <c r="L637" s="4" t="str">
        <f t="shared" si="1"/>
        <v>Jul-2025</v>
      </c>
    </row>
    <row r="638" ht="15.75" customHeight="1">
      <c r="A638" s="4" t="s">
        <v>928</v>
      </c>
      <c r="B638" s="5">
        <v>45859.0</v>
      </c>
      <c r="C638" s="4" t="s">
        <v>180</v>
      </c>
      <c r="D638" s="4" t="s">
        <v>19</v>
      </c>
      <c r="E638" s="4" t="s">
        <v>15</v>
      </c>
      <c r="F638" s="4" t="s">
        <v>713</v>
      </c>
      <c r="G638" s="4">
        <v>4.0</v>
      </c>
      <c r="H638" s="6">
        <v>14253.89</v>
      </c>
      <c r="I638" s="6">
        <v>57015.56</v>
      </c>
      <c r="J638" s="6">
        <v>49801.9</v>
      </c>
      <c r="K638" s="6">
        <v>7213.66</v>
      </c>
      <c r="L638" s="4" t="str">
        <f t="shared" si="1"/>
        <v>Jul-2025</v>
      </c>
    </row>
    <row r="639" ht="15.75" customHeight="1">
      <c r="A639" s="4" t="s">
        <v>929</v>
      </c>
      <c r="B639" s="5">
        <v>45859.0</v>
      </c>
      <c r="C639" s="4" t="s">
        <v>61</v>
      </c>
      <c r="D639" s="4" t="s">
        <v>19</v>
      </c>
      <c r="E639" s="4" t="s">
        <v>25</v>
      </c>
      <c r="F639" s="4" t="s">
        <v>641</v>
      </c>
      <c r="G639" s="4">
        <v>7.0</v>
      </c>
      <c r="H639" s="6">
        <v>47190.7</v>
      </c>
      <c r="I639" s="6">
        <v>330334.9</v>
      </c>
      <c r="J639" s="6">
        <v>264807.73</v>
      </c>
      <c r="K639" s="6">
        <v>65527.17</v>
      </c>
      <c r="L639" s="4" t="str">
        <f t="shared" si="1"/>
        <v>Jul-2025</v>
      </c>
    </row>
    <row r="640" ht="15.75" customHeight="1">
      <c r="A640" s="4" t="s">
        <v>930</v>
      </c>
      <c r="B640" s="5">
        <v>45859.0</v>
      </c>
      <c r="C640" s="4" t="s">
        <v>102</v>
      </c>
      <c r="D640" s="4" t="s">
        <v>24</v>
      </c>
      <c r="E640" s="4" t="s">
        <v>25</v>
      </c>
      <c r="F640" s="4" t="s">
        <v>434</v>
      </c>
      <c r="G640" s="4">
        <v>1.0</v>
      </c>
      <c r="H640" s="6">
        <v>5767.27</v>
      </c>
      <c r="I640" s="6">
        <v>5767.27</v>
      </c>
      <c r="J640" s="6">
        <v>4386.15</v>
      </c>
      <c r="K640" s="6">
        <v>1381.12</v>
      </c>
      <c r="L640" s="4" t="str">
        <f t="shared" si="1"/>
        <v>Jul-2025</v>
      </c>
    </row>
    <row r="641" ht="15.75" customHeight="1">
      <c r="A641" s="4" t="s">
        <v>931</v>
      </c>
      <c r="B641" s="5">
        <v>45859.0</v>
      </c>
      <c r="C641" s="4" t="s">
        <v>180</v>
      </c>
      <c r="D641" s="4" t="s">
        <v>19</v>
      </c>
      <c r="E641" s="4" t="s">
        <v>20</v>
      </c>
      <c r="F641" s="4" t="s">
        <v>315</v>
      </c>
      <c r="G641" s="4">
        <v>6.0</v>
      </c>
      <c r="H641" s="6">
        <v>41445.62</v>
      </c>
      <c r="I641" s="6">
        <v>248673.72</v>
      </c>
      <c r="J641" s="6">
        <v>199566.9</v>
      </c>
      <c r="K641" s="6">
        <v>49106.82</v>
      </c>
      <c r="L641" s="4" t="str">
        <f t="shared" si="1"/>
        <v>Jul-2025</v>
      </c>
    </row>
    <row r="642" ht="15.75" customHeight="1">
      <c r="A642" s="4" t="s">
        <v>932</v>
      </c>
      <c r="B642" s="5">
        <v>45860.0</v>
      </c>
      <c r="C642" s="4" t="s">
        <v>18</v>
      </c>
      <c r="D642" s="4" t="s">
        <v>19</v>
      </c>
      <c r="E642" s="4" t="s">
        <v>29</v>
      </c>
      <c r="F642" s="4" t="s">
        <v>573</v>
      </c>
      <c r="G642" s="4">
        <v>5.0</v>
      </c>
      <c r="H642" s="6">
        <v>31065.88</v>
      </c>
      <c r="I642" s="6">
        <v>155329.4</v>
      </c>
      <c r="J642" s="6">
        <v>136420.55</v>
      </c>
      <c r="K642" s="6">
        <v>18908.85</v>
      </c>
      <c r="L642" s="4" t="str">
        <f t="shared" si="1"/>
        <v>Jul-2025</v>
      </c>
    </row>
    <row r="643" ht="15.75" customHeight="1">
      <c r="A643" s="4" t="s">
        <v>933</v>
      </c>
      <c r="B643" s="5">
        <v>45860.0</v>
      </c>
      <c r="C643" s="4" t="s">
        <v>23</v>
      </c>
      <c r="D643" s="4" t="s">
        <v>24</v>
      </c>
      <c r="E643" s="4" t="s">
        <v>29</v>
      </c>
      <c r="F643" s="4" t="s">
        <v>321</v>
      </c>
      <c r="G643" s="4">
        <v>4.0</v>
      </c>
      <c r="H643" s="6">
        <v>10281.68</v>
      </c>
      <c r="I643" s="6">
        <v>41126.72</v>
      </c>
      <c r="J643" s="6">
        <v>32749.39</v>
      </c>
      <c r="K643" s="6">
        <v>8377.33</v>
      </c>
      <c r="L643" s="4" t="str">
        <f t="shared" si="1"/>
        <v>Jul-2025</v>
      </c>
    </row>
    <row r="644" ht="15.75" customHeight="1">
      <c r="A644" s="4" t="s">
        <v>934</v>
      </c>
      <c r="B644" s="5">
        <v>45860.0</v>
      </c>
      <c r="C644" s="4" t="s">
        <v>69</v>
      </c>
      <c r="D644" s="4" t="s">
        <v>19</v>
      </c>
      <c r="E644" s="4" t="s">
        <v>29</v>
      </c>
      <c r="F644" s="4" t="s">
        <v>352</v>
      </c>
      <c r="G644" s="4">
        <v>4.0</v>
      </c>
      <c r="H644" s="6">
        <v>62286.05</v>
      </c>
      <c r="I644" s="6">
        <v>249144.2</v>
      </c>
      <c r="J644" s="6">
        <v>205789.04</v>
      </c>
      <c r="K644" s="6">
        <v>43355.16</v>
      </c>
      <c r="L644" s="4" t="str">
        <f t="shared" si="1"/>
        <v>Jul-2025</v>
      </c>
    </row>
    <row r="645" ht="15.75" customHeight="1">
      <c r="A645" s="4" t="s">
        <v>935</v>
      </c>
      <c r="B645" s="5">
        <v>45860.0</v>
      </c>
      <c r="C645" s="4" t="s">
        <v>102</v>
      </c>
      <c r="D645" s="4" t="s">
        <v>24</v>
      </c>
      <c r="E645" s="4" t="s">
        <v>20</v>
      </c>
      <c r="F645" s="4" t="s">
        <v>268</v>
      </c>
      <c r="G645" s="4">
        <v>7.0</v>
      </c>
      <c r="H645" s="6">
        <v>10584.06</v>
      </c>
      <c r="I645" s="6">
        <v>74088.42</v>
      </c>
      <c r="J645" s="6">
        <v>58996.22</v>
      </c>
      <c r="K645" s="6">
        <v>15092.2</v>
      </c>
      <c r="L645" s="4" t="str">
        <f t="shared" si="1"/>
        <v>Jul-2025</v>
      </c>
    </row>
    <row r="646" ht="15.75" customHeight="1">
      <c r="A646" s="4" t="s">
        <v>936</v>
      </c>
      <c r="B646" s="5">
        <v>45860.0</v>
      </c>
      <c r="C646" s="4" t="s">
        <v>61</v>
      </c>
      <c r="D646" s="4" t="s">
        <v>19</v>
      </c>
      <c r="E646" s="4" t="s">
        <v>29</v>
      </c>
      <c r="F646" s="4" t="s">
        <v>73</v>
      </c>
      <c r="G646" s="4">
        <v>7.0</v>
      </c>
      <c r="H646" s="6">
        <v>18657.75</v>
      </c>
      <c r="I646" s="6">
        <v>130604.25</v>
      </c>
      <c r="J646" s="6">
        <v>106453.32</v>
      </c>
      <c r="K646" s="6">
        <v>24150.93</v>
      </c>
      <c r="L646" s="4" t="str">
        <f t="shared" si="1"/>
        <v>Jul-2025</v>
      </c>
    </row>
    <row r="647" ht="15.75" customHeight="1">
      <c r="A647" s="4" t="s">
        <v>937</v>
      </c>
      <c r="B647" s="5">
        <v>45860.0</v>
      </c>
      <c r="C647" s="4" t="s">
        <v>140</v>
      </c>
      <c r="D647" s="4" t="s">
        <v>14</v>
      </c>
      <c r="E647" s="4" t="s">
        <v>29</v>
      </c>
      <c r="F647" s="4" t="s">
        <v>181</v>
      </c>
      <c r="G647" s="4">
        <v>7.0</v>
      </c>
      <c r="H647" s="6">
        <v>793.03</v>
      </c>
      <c r="I647" s="6">
        <v>5551.21</v>
      </c>
      <c r="J647" s="6">
        <v>4000.0</v>
      </c>
      <c r="K647" s="6">
        <v>1551.21</v>
      </c>
      <c r="L647" s="4" t="str">
        <f t="shared" si="1"/>
        <v>Jul-2025</v>
      </c>
    </row>
    <row r="648" ht="15.75" customHeight="1">
      <c r="A648" s="4" t="s">
        <v>938</v>
      </c>
      <c r="B648" s="5">
        <v>45861.0</v>
      </c>
      <c r="C648" s="4" t="s">
        <v>18</v>
      </c>
      <c r="D648" s="4" t="s">
        <v>19</v>
      </c>
      <c r="E648" s="4" t="s">
        <v>15</v>
      </c>
      <c r="F648" s="4" t="s">
        <v>76</v>
      </c>
      <c r="G648" s="4">
        <v>2.0</v>
      </c>
      <c r="H648" s="6">
        <v>11274.52</v>
      </c>
      <c r="I648" s="6">
        <v>22549.04</v>
      </c>
      <c r="J648" s="6">
        <v>20675.9</v>
      </c>
      <c r="K648" s="6">
        <v>1873.14</v>
      </c>
      <c r="L648" s="4" t="str">
        <f t="shared" si="1"/>
        <v>Jul-2025</v>
      </c>
    </row>
    <row r="649" ht="15.75" customHeight="1">
      <c r="A649" s="4" t="s">
        <v>939</v>
      </c>
      <c r="B649" s="5">
        <v>45861.0</v>
      </c>
      <c r="C649" s="4" t="s">
        <v>38</v>
      </c>
      <c r="D649" s="4" t="s">
        <v>19</v>
      </c>
      <c r="E649" s="4" t="s">
        <v>15</v>
      </c>
      <c r="F649" s="4" t="s">
        <v>384</v>
      </c>
      <c r="G649" s="4">
        <v>6.0</v>
      </c>
      <c r="H649" s="6">
        <v>21863.76</v>
      </c>
      <c r="I649" s="6">
        <v>131182.56</v>
      </c>
      <c r="J649" s="6">
        <v>113095.77</v>
      </c>
      <c r="K649" s="6">
        <v>18086.79</v>
      </c>
      <c r="L649" s="4" t="str">
        <f t="shared" si="1"/>
        <v>Jul-2025</v>
      </c>
    </row>
    <row r="650" ht="15.75" customHeight="1">
      <c r="A650" s="4" t="s">
        <v>940</v>
      </c>
      <c r="B650" s="5">
        <v>45861.0</v>
      </c>
      <c r="C650" s="4" t="s">
        <v>160</v>
      </c>
      <c r="D650" s="4" t="s">
        <v>42</v>
      </c>
      <c r="E650" s="4" t="s">
        <v>29</v>
      </c>
      <c r="F650" s="4" t="s">
        <v>51</v>
      </c>
      <c r="G650" s="4">
        <v>2.0</v>
      </c>
      <c r="H650" s="6">
        <v>3201.46</v>
      </c>
      <c r="I650" s="6">
        <v>6402.92</v>
      </c>
      <c r="J650" s="6">
        <v>5127.95</v>
      </c>
      <c r="K650" s="6">
        <v>1274.97</v>
      </c>
      <c r="L650" s="4" t="str">
        <f t="shared" si="1"/>
        <v>Jul-2025</v>
      </c>
    </row>
    <row r="651" ht="15.75" customHeight="1">
      <c r="A651" s="4" t="s">
        <v>941</v>
      </c>
      <c r="B651" s="5">
        <v>45861.0</v>
      </c>
      <c r="C651" s="4" t="s">
        <v>109</v>
      </c>
      <c r="D651" s="4" t="s">
        <v>42</v>
      </c>
      <c r="E651" s="4" t="s">
        <v>29</v>
      </c>
      <c r="F651" s="4" t="s">
        <v>325</v>
      </c>
      <c r="G651" s="4">
        <v>3.0</v>
      </c>
      <c r="H651" s="6">
        <v>3053.1</v>
      </c>
      <c r="I651" s="6">
        <v>9159.3</v>
      </c>
      <c r="J651" s="6">
        <v>7732.51</v>
      </c>
      <c r="K651" s="6">
        <v>1426.79</v>
      </c>
      <c r="L651" s="4" t="str">
        <f t="shared" si="1"/>
        <v>Jul-2025</v>
      </c>
    </row>
    <row r="652" ht="15.75" customHeight="1">
      <c r="A652" s="4" t="s">
        <v>942</v>
      </c>
      <c r="B652" s="5">
        <v>45862.0</v>
      </c>
      <c r="C652" s="4" t="s">
        <v>160</v>
      </c>
      <c r="D652" s="4" t="s">
        <v>42</v>
      </c>
      <c r="E652" s="4" t="s">
        <v>20</v>
      </c>
      <c r="F652" s="4" t="s">
        <v>643</v>
      </c>
      <c r="G652" s="4">
        <v>3.0</v>
      </c>
      <c r="H652" s="6">
        <v>422.04</v>
      </c>
      <c r="I652" s="6">
        <v>1266.12</v>
      </c>
      <c r="J652" s="6">
        <v>1103.07</v>
      </c>
      <c r="K652" s="6">
        <v>163.05</v>
      </c>
      <c r="L652" s="4" t="str">
        <f t="shared" si="1"/>
        <v>Jul-2025</v>
      </c>
    </row>
    <row r="653" ht="15.75" customHeight="1">
      <c r="A653" s="4" t="s">
        <v>943</v>
      </c>
      <c r="B653" s="5">
        <v>45862.0</v>
      </c>
      <c r="C653" s="4" t="s">
        <v>32</v>
      </c>
      <c r="D653" s="4" t="s">
        <v>19</v>
      </c>
      <c r="E653" s="4" t="s">
        <v>29</v>
      </c>
      <c r="F653" s="4" t="s">
        <v>522</v>
      </c>
      <c r="G653" s="4">
        <v>7.0</v>
      </c>
      <c r="H653" s="6">
        <v>50635.86</v>
      </c>
      <c r="I653" s="6">
        <v>354451.02</v>
      </c>
      <c r="J653" s="6">
        <v>301331.2</v>
      </c>
      <c r="K653" s="6">
        <v>53119.82</v>
      </c>
      <c r="L653" s="4" t="str">
        <f t="shared" si="1"/>
        <v>Jul-2025</v>
      </c>
    </row>
    <row r="654" ht="15.75" customHeight="1">
      <c r="A654" s="4" t="s">
        <v>944</v>
      </c>
      <c r="B654" s="5">
        <v>45862.0</v>
      </c>
      <c r="C654" s="4" t="s">
        <v>180</v>
      </c>
      <c r="D654" s="4" t="s">
        <v>19</v>
      </c>
      <c r="E654" s="4" t="s">
        <v>20</v>
      </c>
      <c r="F654" s="4" t="s">
        <v>945</v>
      </c>
      <c r="G654" s="4">
        <v>1.0</v>
      </c>
      <c r="H654" s="6">
        <v>50640.19</v>
      </c>
      <c r="I654" s="6">
        <v>50640.19</v>
      </c>
      <c r="J654" s="6">
        <v>42832.72</v>
      </c>
      <c r="K654" s="6">
        <v>7807.47</v>
      </c>
      <c r="L654" s="4" t="str">
        <f t="shared" si="1"/>
        <v>Jul-2025</v>
      </c>
    </row>
    <row r="655" ht="15.75" customHeight="1">
      <c r="A655" s="4" t="s">
        <v>946</v>
      </c>
      <c r="B655" s="5">
        <v>45863.0</v>
      </c>
      <c r="C655" s="4" t="s">
        <v>92</v>
      </c>
      <c r="D655" s="4" t="s">
        <v>14</v>
      </c>
      <c r="E655" s="4" t="s">
        <v>20</v>
      </c>
      <c r="F655" s="4" t="s">
        <v>266</v>
      </c>
      <c r="G655" s="4">
        <v>3.0</v>
      </c>
      <c r="H655" s="6">
        <v>1499.34</v>
      </c>
      <c r="I655" s="6">
        <v>4498.02</v>
      </c>
      <c r="J655" s="6">
        <v>3240.27</v>
      </c>
      <c r="K655" s="6">
        <v>1257.75</v>
      </c>
      <c r="L655" s="4" t="str">
        <f t="shared" si="1"/>
        <v>Jul-2025</v>
      </c>
    </row>
    <row r="656" ht="15.75" customHeight="1">
      <c r="A656" s="4" t="s">
        <v>947</v>
      </c>
      <c r="B656" s="5">
        <v>45863.0</v>
      </c>
      <c r="C656" s="4" t="s">
        <v>140</v>
      </c>
      <c r="D656" s="4" t="s">
        <v>14</v>
      </c>
      <c r="E656" s="4" t="s">
        <v>20</v>
      </c>
      <c r="F656" s="4" t="s">
        <v>245</v>
      </c>
      <c r="G656" s="4">
        <v>4.0</v>
      </c>
      <c r="H656" s="6">
        <v>1087.3</v>
      </c>
      <c r="I656" s="6">
        <v>4349.2</v>
      </c>
      <c r="J656" s="6">
        <v>3689.76</v>
      </c>
      <c r="K656" s="6">
        <v>659.44</v>
      </c>
      <c r="L656" s="4" t="str">
        <f t="shared" si="1"/>
        <v>Jul-2025</v>
      </c>
    </row>
    <row r="657" ht="15.75" customHeight="1">
      <c r="A657" s="4" t="s">
        <v>948</v>
      </c>
      <c r="B657" s="5">
        <v>45863.0</v>
      </c>
      <c r="C657" s="4" t="s">
        <v>18</v>
      </c>
      <c r="D657" s="4" t="s">
        <v>19</v>
      </c>
      <c r="E657" s="4" t="s">
        <v>25</v>
      </c>
      <c r="F657" s="4" t="s">
        <v>229</v>
      </c>
      <c r="G657" s="4">
        <v>7.0</v>
      </c>
      <c r="H657" s="6">
        <v>72137.11</v>
      </c>
      <c r="I657" s="6">
        <v>504959.77</v>
      </c>
      <c r="J657" s="6">
        <v>423409.02</v>
      </c>
      <c r="K657" s="6">
        <v>81550.75</v>
      </c>
      <c r="L657" s="4" t="str">
        <f t="shared" si="1"/>
        <v>Jul-2025</v>
      </c>
    </row>
    <row r="658" ht="15.75" customHeight="1">
      <c r="A658" s="4" t="s">
        <v>949</v>
      </c>
      <c r="B658" s="5">
        <v>45863.0</v>
      </c>
      <c r="C658" s="4" t="s">
        <v>32</v>
      </c>
      <c r="D658" s="4" t="s">
        <v>19</v>
      </c>
      <c r="E658" s="4" t="s">
        <v>20</v>
      </c>
      <c r="F658" s="4" t="s">
        <v>84</v>
      </c>
      <c r="G658" s="4">
        <v>6.0</v>
      </c>
      <c r="H658" s="6">
        <v>26994.4</v>
      </c>
      <c r="I658" s="6">
        <v>161966.4</v>
      </c>
      <c r="J658" s="6">
        <v>130169.47</v>
      </c>
      <c r="K658" s="6">
        <v>31796.93</v>
      </c>
      <c r="L658" s="4" t="str">
        <f t="shared" si="1"/>
        <v>Jul-2025</v>
      </c>
    </row>
    <row r="659" ht="15.75" customHeight="1">
      <c r="A659" s="4" t="s">
        <v>950</v>
      </c>
      <c r="B659" s="5">
        <v>45864.0</v>
      </c>
      <c r="C659" s="4" t="s">
        <v>38</v>
      </c>
      <c r="D659" s="4" t="s">
        <v>19</v>
      </c>
      <c r="E659" s="4" t="s">
        <v>25</v>
      </c>
      <c r="F659" s="4" t="s">
        <v>561</v>
      </c>
      <c r="G659" s="4">
        <v>1.0</v>
      </c>
      <c r="H659" s="6">
        <v>29061.68</v>
      </c>
      <c r="I659" s="6">
        <v>29061.68</v>
      </c>
      <c r="J659" s="6">
        <v>25202.38</v>
      </c>
      <c r="K659" s="6">
        <v>3859.3</v>
      </c>
      <c r="L659" s="4" t="str">
        <f t="shared" si="1"/>
        <v>Jul-2025</v>
      </c>
    </row>
    <row r="660" ht="15.75" customHeight="1">
      <c r="A660" s="4" t="s">
        <v>951</v>
      </c>
      <c r="B660" s="5">
        <v>45864.0</v>
      </c>
      <c r="C660" s="4" t="s">
        <v>75</v>
      </c>
      <c r="D660" s="4" t="s">
        <v>24</v>
      </c>
      <c r="E660" s="4" t="s">
        <v>25</v>
      </c>
      <c r="F660" s="4" t="s">
        <v>304</v>
      </c>
      <c r="G660" s="4">
        <v>2.0</v>
      </c>
      <c r="H660" s="6">
        <v>8300.52</v>
      </c>
      <c r="I660" s="6">
        <v>16601.04</v>
      </c>
      <c r="J660" s="6">
        <v>12229.62</v>
      </c>
      <c r="K660" s="6">
        <v>4371.42</v>
      </c>
      <c r="L660" s="4" t="str">
        <f t="shared" si="1"/>
        <v>Jul-2025</v>
      </c>
    </row>
    <row r="661" ht="15.75" customHeight="1">
      <c r="A661" s="4" t="s">
        <v>952</v>
      </c>
      <c r="B661" s="5">
        <v>45864.0</v>
      </c>
      <c r="C661" s="4" t="s">
        <v>13</v>
      </c>
      <c r="D661" s="4" t="s">
        <v>14</v>
      </c>
      <c r="E661" s="4" t="s">
        <v>15</v>
      </c>
      <c r="F661" s="4" t="s">
        <v>607</v>
      </c>
      <c r="G661" s="4">
        <v>2.0</v>
      </c>
      <c r="H661" s="6">
        <v>612.79</v>
      </c>
      <c r="I661" s="6">
        <v>1225.58</v>
      </c>
      <c r="J661" s="6">
        <v>921.84</v>
      </c>
      <c r="K661" s="6">
        <v>303.74</v>
      </c>
      <c r="L661" s="4" t="str">
        <f t="shared" si="1"/>
        <v>Jul-2025</v>
      </c>
    </row>
    <row r="662" ht="15.75" customHeight="1">
      <c r="A662" s="4" t="s">
        <v>953</v>
      </c>
      <c r="B662" s="5">
        <v>45865.0</v>
      </c>
      <c r="C662" s="4" t="s">
        <v>72</v>
      </c>
      <c r="D662" s="4" t="s">
        <v>24</v>
      </c>
      <c r="E662" s="4" t="s">
        <v>20</v>
      </c>
      <c r="F662" s="4" t="s">
        <v>954</v>
      </c>
      <c r="G662" s="4">
        <v>7.0</v>
      </c>
      <c r="H662" s="6">
        <v>15331.39</v>
      </c>
      <c r="I662" s="6">
        <v>107319.73</v>
      </c>
      <c r="J662" s="6">
        <v>83200.76</v>
      </c>
      <c r="K662" s="6">
        <v>24118.97</v>
      </c>
      <c r="L662" s="4" t="str">
        <f t="shared" si="1"/>
        <v>Jul-2025</v>
      </c>
    </row>
    <row r="663" ht="15.75" customHeight="1">
      <c r="A663" s="4" t="s">
        <v>955</v>
      </c>
      <c r="B663" s="5">
        <v>45865.0</v>
      </c>
      <c r="C663" s="4" t="s">
        <v>75</v>
      </c>
      <c r="D663" s="4" t="s">
        <v>24</v>
      </c>
      <c r="E663" s="4" t="s">
        <v>25</v>
      </c>
      <c r="F663" s="4" t="s">
        <v>956</v>
      </c>
      <c r="G663" s="4">
        <v>6.0</v>
      </c>
      <c r="H663" s="6">
        <v>1769.29</v>
      </c>
      <c r="I663" s="6">
        <v>10615.74</v>
      </c>
      <c r="J663" s="6">
        <v>9065.35</v>
      </c>
      <c r="K663" s="6">
        <v>1550.39</v>
      </c>
      <c r="L663" s="4" t="str">
        <f t="shared" si="1"/>
        <v>Jul-2025</v>
      </c>
    </row>
    <row r="664" ht="15.75" customHeight="1">
      <c r="A664" s="4" t="s">
        <v>957</v>
      </c>
      <c r="B664" s="5">
        <v>45865.0</v>
      </c>
      <c r="C664" s="4" t="s">
        <v>69</v>
      </c>
      <c r="D664" s="4" t="s">
        <v>19</v>
      </c>
      <c r="E664" s="4" t="s">
        <v>25</v>
      </c>
      <c r="F664" s="4" t="s">
        <v>43</v>
      </c>
      <c r="G664" s="4">
        <v>4.0</v>
      </c>
      <c r="H664" s="6">
        <v>26623.84</v>
      </c>
      <c r="I664" s="6">
        <v>106495.36</v>
      </c>
      <c r="J664" s="6">
        <v>91754.61</v>
      </c>
      <c r="K664" s="6">
        <v>14740.75</v>
      </c>
      <c r="L664" s="4" t="str">
        <f t="shared" si="1"/>
        <v>Jul-2025</v>
      </c>
    </row>
    <row r="665" ht="15.75" customHeight="1">
      <c r="A665" s="4" t="s">
        <v>958</v>
      </c>
      <c r="B665" s="5">
        <v>45865.0</v>
      </c>
      <c r="C665" s="4" t="s">
        <v>109</v>
      </c>
      <c r="D665" s="4" t="s">
        <v>42</v>
      </c>
      <c r="E665" s="4" t="s">
        <v>29</v>
      </c>
      <c r="F665" s="4" t="s">
        <v>307</v>
      </c>
      <c r="G665" s="4">
        <v>7.0</v>
      </c>
      <c r="H665" s="6">
        <v>4177.94</v>
      </c>
      <c r="I665" s="6">
        <v>29245.58</v>
      </c>
      <c r="J665" s="6">
        <v>25702.81</v>
      </c>
      <c r="K665" s="6">
        <v>3542.77</v>
      </c>
      <c r="L665" s="4" t="str">
        <f t="shared" si="1"/>
        <v>Jul-2025</v>
      </c>
    </row>
    <row r="666" ht="15.75" customHeight="1">
      <c r="A666" s="4" t="s">
        <v>959</v>
      </c>
      <c r="B666" s="5">
        <v>45866.0</v>
      </c>
      <c r="C666" s="4" t="s">
        <v>72</v>
      </c>
      <c r="D666" s="4" t="s">
        <v>24</v>
      </c>
      <c r="E666" s="4" t="s">
        <v>25</v>
      </c>
      <c r="F666" s="4" t="s">
        <v>607</v>
      </c>
      <c r="G666" s="4">
        <v>3.0</v>
      </c>
      <c r="H666" s="6">
        <v>4525.43</v>
      </c>
      <c r="I666" s="6">
        <v>13576.29</v>
      </c>
      <c r="J666" s="6">
        <v>10757.61</v>
      </c>
      <c r="K666" s="6">
        <v>2818.68</v>
      </c>
      <c r="L666" s="4" t="str">
        <f t="shared" si="1"/>
        <v>Jul-2025</v>
      </c>
    </row>
    <row r="667" ht="15.75" customHeight="1">
      <c r="A667" s="4" t="s">
        <v>960</v>
      </c>
      <c r="B667" s="5">
        <v>45866.0</v>
      </c>
      <c r="C667" s="4" t="s">
        <v>69</v>
      </c>
      <c r="D667" s="4" t="s">
        <v>19</v>
      </c>
      <c r="E667" s="4" t="s">
        <v>20</v>
      </c>
      <c r="F667" s="4" t="s">
        <v>611</v>
      </c>
      <c r="G667" s="4">
        <v>2.0</v>
      </c>
      <c r="H667" s="6">
        <v>35449.03</v>
      </c>
      <c r="I667" s="6">
        <v>70898.06</v>
      </c>
      <c r="J667" s="6">
        <v>62330.42</v>
      </c>
      <c r="K667" s="6">
        <v>8567.64</v>
      </c>
      <c r="L667" s="4" t="str">
        <f t="shared" si="1"/>
        <v>Jul-2025</v>
      </c>
    </row>
    <row r="668" ht="15.75" customHeight="1">
      <c r="A668" s="4" t="s">
        <v>961</v>
      </c>
      <c r="B668" s="5">
        <v>45866.0</v>
      </c>
      <c r="C668" s="4" t="s">
        <v>23</v>
      </c>
      <c r="D668" s="4" t="s">
        <v>24</v>
      </c>
      <c r="E668" s="4" t="s">
        <v>20</v>
      </c>
      <c r="F668" s="4" t="s">
        <v>962</v>
      </c>
      <c r="G668" s="4">
        <v>2.0</v>
      </c>
      <c r="H668" s="6">
        <v>12471.9</v>
      </c>
      <c r="I668" s="6">
        <v>24943.8</v>
      </c>
      <c r="J668" s="6">
        <v>18060.51</v>
      </c>
      <c r="K668" s="6">
        <v>6883.29</v>
      </c>
      <c r="L668" s="4" t="str">
        <f t="shared" si="1"/>
        <v>Jul-2025</v>
      </c>
    </row>
    <row r="669" ht="15.75" customHeight="1">
      <c r="A669" s="4" t="s">
        <v>963</v>
      </c>
      <c r="B669" s="5">
        <v>45866.0</v>
      </c>
      <c r="C669" s="4" t="s">
        <v>32</v>
      </c>
      <c r="D669" s="4" t="s">
        <v>19</v>
      </c>
      <c r="E669" s="4" t="s">
        <v>15</v>
      </c>
      <c r="F669" s="4" t="s">
        <v>356</v>
      </c>
      <c r="G669" s="4">
        <v>1.0</v>
      </c>
      <c r="H669" s="6">
        <v>23782.21</v>
      </c>
      <c r="I669" s="6">
        <v>23782.21</v>
      </c>
      <c r="J669" s="6">
        <v>19428.87</v>
      </c>
      <c r="K669" s="6">
        <v>4353.34</v>
      </c>
      <c r="L669" s="4" t="str">
        <f t="shared" si="1"/>
        <v>Jul-2025</v>
      </c>
    </row>
    <row r="670" ht="15.75" customHeight="1">
      <c r="A670" s="4" t="s">
        <v>964</v>
      </c>
      <c r="B670" s="5">
        <v>45866.0</v>
      </c>
      <c r="C670" s="4" t="s">
        <v>72</v>
      </c>
      <c r="D670" s="4" t="s">
        <v>24</v>
      </c>
      <c r="E670" s="4" t="s">
        <v>15</v>
      </c>
      <c r="F670" s="4" t="s">
        <v>229</v>
      </c>
      <c r="G670" s="4">
        <v>1.0</v>
      </c>
      <c r="H670" s="6">
        <v>13171.45</v>
      </c>
      <c r="I670" s="6">
        <v>13171.45</v>
      </c>
      <c r="J670" s="6">
        <v>11590.76</v>
      </c>
      <c r="K670" s="6">
        <v>1580.69</v>
      </c>
      <c r="L670" s="4" t="str">
        <f t="shared" si="1"/>
        <v>Jul-2025</v>
      </c>
    </row>
    <row r="671" ht="15.75" customHeight="1">
      <c r="A671" s="4" t="s">
        <v>965</v>
      </c>
      <c r="B671" s="5">
        <v>45866.0</v>
      </c>
      <c r="C671" s="4" t="s">
        <v>72</v>
      </c>
      <c r="D671" s="4" t="s">
        <v>24</v>
      </c>
      <c r="E671" s="4" t="s">
        <v>29</v>
      </c>
      <c r="F671" s="4" t="s">
        <v>67</v>
      </c>
      <c r="G671" s="4">
        <v>5.0</v>
      </c>
      <c r="H671" s="6">
        <v>2549.12</v>
      </c>
      <c r="I671" s="6">
        <v>12745.6</v>
      </c>
      <c r="J671" s="6">
        <v>9511.11</v>
      </c>
      <c r="K671" s="6">
        <v>3234.49</v>
      </c>
      <c r="L671" s="4" t="str">
        <f t="shared" si="1"/>
        <v>Jul-2025</v>
      </c>
    </row>
    <row r="672" ht="15.75" customHeight="1">
      <c r="A672" s="4" t="s">
        <v>966</v>
      </c>
      <c r="B672" s="5">
        <v>45867.0</v>
      </c>
      <c r="C672" s="4" t="s">
        <v>47</v>
      </c>
      <c r="D672" s="4" t="s">
        <v>14</v>
      </c>
      <c r="E672" s="4" t="s">
        <v>20</v>
      </c>
      <c r="F672" s="4" t="s">
        <v>268</v>
      </c>
      <c r="G672" s="4">
        <v>1.0</v>
      </c>
      <c r="H672" s="6">
        <v>938.23</v>
      </c>
      <c r="I672" s="6">
        <v>938.23</v>
      </c>
      <c r="J672" s="6">
        <v>778.27</v>
      </c>
      <c r="K672" s="6">
        <v>159.96</v>
      </c>
      <c r="L672" s="4" t="str">
        <f t="shared" si="1"/>
        <v>Jul-2025</v>
      </c>
    </row>
    <row r="673" ht="15.75" customHeight="1">
      <c r="A673" s="4" t="s">
        <v>967</v>
      </c>
      <c r="B673" s="5">
        <v>45867.0</v>
      </c>
      <c r="C673" s="4" t="s">
        <v>18</v>
      </c>
      <c r="D673" s="4" t="s">
        <v>19</v>
      </c>
      <c r="E673" s="4" t="s">
        <v>29</v>
      </c>
      <c r="F673" s="4" t="s">
        <v>771</v>
      </c>
      <c r="G673" s="4">
        <v>4.0</v>
      </c>
      <c r="H673" s="6">
        <v>61620.03</v>
      </c>
      <c r="I673" s="6">
        <v>246480.12</v>
      </c>
      <c r="J673" s="6">
        <v>197203.31</v>
      </c>
      <c r="K673" s="6">
        <v>49276.81</v>
      </c>
      <c r="L673" s="4" t="str">
        <f t="shared" si="1"/>
        <v>Jul-2025</v>
      </c>
    </row>
    <row r="674" ht="15.75" customHeight="1">
      <c r="A674" s="4" t="s">
        <v>968</v>
      </c>
      <c r="B674" s="5">
        <v>45867.0</v>
      </c>
      <c r="C674" s="4" t="s">
        <v>47</v>
      </c>
      <c r="D674" s="4" t="s">
        <v>14</v>
      </c>
      <c r="E674" s="4" t="s">
        <v>15</v>
      </c>
      <c r="F674" s="4" t="s">
        <v>197</v>
      </c>
      <c r="G674" s="4">
        <v>7.0</v>
      </c>
      <c r="H674" s="6">
        <v>1102.84</v>
      </c>
      <c r="I674" s="6">
        <v>7719.88</v>
      </c>
      <c r="J674" s="6">
        <v>5356.15</v>
      </c>
      <c r="K674" s="6">
        <v>2363.73</v>
      </c>
      <c r="L674" s="4" t="str">
        <f t="shared" si="1"/>
        <v>Jul-2025</v>
      </c>
    </row>
    <row r="675" ht="15.75" customHeight="1">
      <c r="A675" s="4" t="s">
        <v>969</v>
      </c>
      <c r="B675" s="5">
        <v>45868.0</v>
      </c>
      <c r="C675" s="4" t="s">
        <v>35</v>
      </c>
      <c r="D675" s="4" t="s">
        <v>14</v>
      </c>
      <c r="E675" s="4" t="s">
        <v>25</v>
      </c>
      <c r="F675" s="4" t="s">
        <v>67</v>
      </c>
      <c r="G675" s="4">
        <v>1.0</v>
      </c>
      <c r="H675" s="6">
        <v>765.25</v>
      </c>
      <c r="I675" s="6">
        <v>765.25</v>
      </c>
      <c r="J675" s="6">
        <v>621.77</v>
      </c>
      <c r="K675" s="6">
        <v>143.48</v>
      </c>
      <c r="L675" s="4" t="str">
        <f t="shared" si="1"/>
        <v>Jul-2025</v>
      </c>
    </row>
    <row r="676" ht="15.75" customHeight="1">
      <c r="A676" s="4" t="s">
        <v>970</v>
      </c>
      <c r="B676" s="5">
        <v>45868.0</v>
      </c>
      <c r="C676" s="4" t="s">
        <v>47</v>
      </c>
      <c r="D676" s="4" t="s">
        <v>14</v>
      </c>
      <c r="E676" s="4" t="s">
        <v>25</v>
      </c>
      <c r="F676" s="4" t="s">
        <v>250</v>
      </c>
      <c r="G676" s="4">
        <v>5.0</v>
      </c>
      <c r="H676" s="6">
        <v>319.64</v>
      </c>
      <c r="I676" s="6">
        <v>1598.2</v>
      </c>
      <c r="J676" s="6">
        <v>1287.58</v>
      </c>
      <c r="K676" s="6">
        <v>310.62</v>
      </c>
      <c r="L676" s="4" t="str">
        <f t="shared" si="1"/>
        <v>Jul-2025</v>
      </c>
    </row>
    <row r="677" ht="15.75" customHeight="1">
      <c r="A677" s="4" t="s">
        <v>971</v>
      </c>
      <c r="B677" s="5">
        <v>45868.0</v>
      </c>
      <c r="C677" s="4" t="s">
        <v>35</v>
      </c>
      <c r="D677" s="4" t="s">
        <v>14</v>
      </c>
      <c r="E677" s="4" t="s">
        <v>15</v>
      </c>
      <c r="F677" s="4" t="s">
        <v>325</v>
      </c>
      <c r="G677" s="4">
        <v>5.0</v>
      </c>
      <c r="H677" s="6">
        <v>331.29</v>
      </c>
      <c r="I677" s="6">
        <v>1656.45</v>
      </c>
      <c r="J677" s="6">
        <v>1258.36</v>
      </c>
      <c r="K677" s="6">
        <v>398.09</v>
      </c>
      <c r="L677" s="4" t="str">
        <f t="shared" si="1"/>
        <v>Jul-2025</v>
      </c>
    </row>
    <row r="678" ht="15.75" customHeight="1">
      <c r="A678" s="4" t="s">
        <v>972</v>
      </c>
      <c r="B678" s="5">
        <v>45869.0</v>
      </c>
      <c r="C678" s="4" t="s">
        <v>38</v>
      </c>
      <c r="D678" s="4" t="s">
        <v>19</v>
      </c>
      <c r="E678" s="4" t="s">
        <v>25</v>
      </c>
      <c r="F678" s="4" t="s">
        <v>195</v>
      </c>
      <c r="G678" s="4">
        <v>6.0</v>
      </c>
      <c r="H678" s="6">
        <v>56250.83</v>
      </c>
      <c r="I678" s="6">
        <v>337504.98</v>
      </c>
      <c r="J678" s="6">
        <v>308356.19</v>
      </c>
      <c r="K678" s="6">
        <v>29148.79</v>
      </c>
      <c r="L678" s="4" t="str">
        <f t="shared" si="1"/>
        <v>Jul-2025</v>
      </c>
    </row>
    <row r="679" ht="15.75" customHeight="1">
      <c r="A679" s="4" t="s">
        <v>973</v>
      </c>
      <c r="B679" s="5">
        <v>45869.0</v>
      </c>
      <c r="C679" s="4" t="s">
        <v>180</v>
      </c>
      <c r="D679" s="4" t="s">
        <v>19</v>
      </c>
      <c r="E679" s="4" t="s">
        <v>20</v>
      </c>
      <c r="F679" s="4" t="s">
        <v>974</v>
      </c>
      <c r="G679" s="4">
        <v>2.0</v>
      </c>
      <c r="H679" s="6">
        <v>57816.84</v>
      </c>
      <c r="I679" s="6">
        <v>115633.68</v>
      </c>
      <c r="J679" s="6">
        <v>94102.48</v>
      </c>
      <c r="K679" s="6">
        <v>21531.2</v>
      </c>
      <c r="L679" s="4" t="str">
        <f t="shared" si="1"/>
        <v>Jul-2025</v>
      </c>
    </row>
    <row r="680" ht="15.75" customHeight="1">
      <c r="A680" s="4" t="s">
        <v>975</v>
      </c>
      <c r="B680" s="5">
        <v>45869.0</v>
      </c>
      <c r="C680" s="4" t="s">
        <v>180</v>
      </c>
      <c r="D680" s="4" t="s">
        <v>19</v>
      </c>
      <c r="E680" s="4" t="s">
        <v>15</v>
      </c>
      <c r="F680" s="4" t="s">
        <v>976</v>
      </c>
      <c r="G680" s="4">
        <v>5.0</v>
      </c>
      <c r="H680" s="6">
        <v>10682.34</v>
      </c>
      <c r="I680" s="6">
        <v>53411.7</v>
      </c>
      <c r="J680" s="6">
        <v>48650.36</v>
      </c>
      <c r="K680" s="6">
        <v>4761.34</v>
      </c>
      <c r="L680" s="4" t="str">
        <f t="shared" si="1"/>
        <v>Jul-2025</v>
      </c>
    </row>
    <row r="681" ht="15.75" customHeight="1">
      <c r="A681" s="4" t="s">
        <v>977</v>
      </c>
      <c r="B681" s="5">
        <v>45870.0</v>
      </c>
      <c r="C681" s="4" t="s">
        <v>13</v>
      </c>
      <c r="D681" s="4" t="s">
        <v>14</v>
      </c>
      <c r="E681" s="4" t="s">
        <v>25</v>
      </c>
      <c r="F681" s="4" t="s">
        <v>57</v>
      </c>
      <c r="G681" s="4">
        <v>7.0</v>
      </c>
      <c r="H681" s="6">
        <v>661.48</v>
      </c>
      <c r="I681" s="6">
        <v>4630.36</v>
      </c>
      <c r="J681" s="6">
        <v>3481.13</v>
      </c>
      <c r="K681" s="6">
        <v>1149.23</v>
      </c>
      <c r="L681" s="4" t="str">
        <f t="shared" si="1"/>
        <v>Aug-2025</v>
      </c>
    </row>
    <row r="682" ht="15.75" customHeight="1">
      <c r="A682" s="4" t="s">
        <v>978</v>
      </c>
      <c r="B682" s="5">
        <v>45870.0</v>
      </c>
      <c r="C682" s="4" t="s">
        <v>155</v>
      </c>
      <c r="D682" s="4" t="s">
        <v>24</v>
      </c>
      <c r="E682" s="4" t="s">
        <v>29</v>
      </c>
      <c r="F682" s="4" t="s">
        <v>16</v>
      </c>
      <c r="G682" s="4">
        <v>7.0</v>
      </c>
      <c r="H682" s="6">
        <v>5989.58</v>
      </c>
      <c r="I682" s="6">
        <v>41927.06</v>
      </c>
      <c r="J682" s="6">
        <v>30639.36</v>
      </c>
      <c r="K682" s="6">
        <v>11287.7</v>
      </c>
      <c r="L682" s="4" t="str">
        <f t="shared" si="1"/>
        <v>Aug-2025</v>
      </c>
    </row>
    <row r="683" ht="15.75" customHeight="1">
      <c r="A683" s="4" t="s">
        <v>979</v>
      </c>
      <c r="B683" s="5">
        <v>45870.0</v>
      </c>
      <c r="C683" s="4" t="s">
        <v>23</v>
      </c>
      <c r="D683" s="4" t="s">
        <v>24</v>
      </c>
      <c r="E683" s="4" t="s">
        <v>15</v>
      </c>
      <c r="F683" s="4" t="s">
        <v>203</v>
      </c>
      <c r="G683" s="4">
        <v>4.0</v>
      </c>
      <c r="H683" s="6">
        <v>8438.85</v>
      </c>
      <c r="I683" s="6">
        <v>33755.4</v>
      </c>
      <c r="J683" s="6">
        <v>26365.15</v>
      </c>
      <c r="K683" s="6">
        <v>7390.25</v>
      </c>
      <c r="L683" s="4" t="str">
        <f t="shared" si="1"/>
        <v>Aug-2025</v>
      </c>
    </row>
    <row r="684" ht="15.75" customHeight="1">
      <c r="A684" s="4" t="s">
        <v>980</v>
      </c>
      <c r="B684" s="5">
        <v>45870.0</v>
      </c>
      <c r="C684" s="4" t="s">
        <v>32</v>
      </c>
      <c r="D684" s="4" t="s">
        <v>19</v>
      </c>
      <c r="E684" s="4" t="s">
        <v>15</v>
      </c>
      <c r="F684" s="4" t="s">
        <v>158</v>
      </c>
      <c r="G684" s="4">
        <v>3.0</v>
      </c>
      <c r="H684" s="6">
        <v>66609.83</v>
      </c>
      <c r="I684" s="6">
        <v>199829.49</v>
      </c>
      <c r="J684" s="6">
        <v>168356.89</v>
      </c>
      <c r="K684" s="6">
        <v>31472.6</v>
      </c>
      <c r="L684" s="4" t="str">
        <f t="shared" si="1"/>
        <v>Aug-2025</v>
      </c>
    </row>
    <row r="685" ht="15.75" customHeight="1">
      <c r="A685" s="4" t="s">
        <v>981</v>
      </c>
      <c r="B685" s="5">
        <v>45871.0</v>
      </c>
      <c r="C685" s="4" t="s">
        <v>75</v>
      </c>
      <c r="D685" s="4" t="s">
        <v>24</v>
      </c>
      <c r="E685" s="4" t="s">
        <v>25</v>
      </c>
      <c r="F685" s="4" t="s">
        <v>497</v>
      </c>
      <c r="G685" s="4">
        <v>7.0</v>
      </c>
      <c r="H685" s="6">
        <v>12354.07</v>
      </c>
      <c r="I685" s="6">
        <v>86478.49</v>
      </c>
      <c r="J685" s="6">
        <v>66499.2</v>
      </c>
      <c r="K685" s="6">
        <v>19979.29</v>
      </c>
      <c r="L685" s="4" t="str">
        <f t="shared" si="1"/>
        <v>Aug-2025</v>
      </c>
    </row>
    <row r="686" ht="15.75" customHeight="1">
      <c r="A686" s="4" t="s">
        <v>982</v>
      </c>
      <c r="B686" s="5">
        <v>45871.0</v>
      </c>
      <c r="C686" s="4" t="s">
        <v>160</v>
      </c>
      <c r="D686" s="4" t="s">
        <v>42</v>
      </c>
      <c r="E686" s="4" t="s">
        <v>29</v>
      </c>
      <c r="F686" s="4" t="s">
        <v>822</v>
      </c>
      <c r="G686" s="4">
        <v>5.0</v>
      </c>
      <c r="H686" s="6">
        <v>3771.44</v>
      </c>
      <c r="I686" s="6">
        <v>18857.2</v>
      </c>
      <c r="J686" s="6">
        <v>14691.73</v>
      </c>
      <c r="K686" s="6">
        <v>4165.47</v>
      </c>
      <c r="L686" s="4" t="str">
        <f t="shared" si="1"/>
        <v>Aug-2025</v>
      </c>
    </row>
    <row r="687" ht="15.75" customHeight="1">
      <c r="A687" s="4" t="s">
        <v>983</v>
      </c>
      <c r="B687" s="5">
        <v>45871.0</v>
      </c>
      <c r="C687" s="4" t="s">
        <v>155</v>
      </c>
      <c r="D687" s="4" t="s">
        <v>24</v>
      </c>
      <c r="E687" s="4" t="s">
        <v>29</v>
      </c>
      <c r="F687" s="4" t="s">
        <v>215</v>
      </c>
      <c r="G687" s="4">
        <v>5.0</v>
      </c>
      <c r="H687" s="6">
        <v>14712.63</v>
      </c>
      <c r="I687" s="6">
        <v>73563.15</v>
      </c>
      <c r="J687" s="6">
        <v>62094.56</v>
      </c>
      <c r="K687" s="6">
        <v>11468.59</v>
      </c>
      <c r="L687" s="4" t="str">
        <f t="shared" si="1"/>
        <v>Aug-2025</v>
      </c>
    </row>
    <row r="688" ht="15.75" customHeight="1">
      <c r="A688" s="4" t="s">
        <v>984</v>
      </c>
      <c r="B688" s="5">
        <v>45871.0</v>
      </c>
      <c r="C688" s="4" t="s">
        <v>38</v>
      </c>
      <c r="D688" s="4" t="s">
        <v>19</v>
      </c>
      <c r="E688" s="4" t="s">
        <v>15</v>
      </c>
      <c r="F688" s="4" t="s">
        <v>205</v>
      </c>
      <c r="G688" s="4">
        <v>3.0</v>
      </c>
      <c r="H688" s="6">
        <v>6191.79</v>
      </c>
      <c r="I688" s="6">
        <v>18575.37</v>
      </c>
      <c r="J688" s="6">
        <v>16645.55</v>
      </c>
      <c r="K688" s="6">
        <v>1929.82</v>
      </c>
      <c r="L688" s="4" t="str">
        <f t="shared" si="1"/>
        <v>Aug-2025</v>
      </c>
    </row>
    <row r="689" ht="15.75" customHeight="1">
      <c r="A689" s="4" t="s">
        <v>985</v>
      </c>
      <c r="B689" s="5">
        <v>45872.0</v>
      </c>
      <c r="C689" s="4" t="s">
        <v>47</v>
      </c>
      <c r="D689" s="4" t="s">
        <v>14</v>
      </c>
      <c r="E689" s="4" t="s">
        <v>25</v>
      </c>
      <c r="F689" s="4" t="s">
        <v>279</v>
      </c>
      <c r="G689" s="4">
        <v>6.0</v>
      </c>
      <c r="H689" s="6">
        <v>921.6</v>
      </c>
      <c r="I689" s="6">
        <v>5529.6</v>
      </c>
      <c r="J689" s="6">
        <v>3815.33</v>
      </c>
      <c r="K689" s="6">
        <v>1714.27</v>
      </c>
      <c r="L689" s="4" t="str">
        <f t="shared" si="1"/>
        <v>Aug-2025</v>
      </c>
    </row>
    <row r="690" ht="15.75" customHeight="1">
      <c r="A690" s="4" t="s">
        <v>986</v>
      </c>
      <c r="B690" s="5">
        <v>45872.0</v>
      </c>
      <c r="C690" s="4" t="s">
        <v>61</v>
      </c>
      <c r="D690" s="4" t="s">
        <v>19</v>
      </c>
      <c r="E690" s="4" t="s">
        <v>20</v>
      </c>
      <c r="F690" s="4" t="s">
        <v>97</v>
      </c>
      <c r="G690" s="4">
        <v>3.0</v>
      </c>
      <c r="H690" s="6">
        <v>50453.43</v>
      </c>
      <c r="I690" s="6">
        <v>151360.29</v>
      </c>
      <c r="J690" s="6">
        <v>125947.96</v>
      </c>
      <c r="K690" s="6">
        <v>25412.33</v>
      </c>
      <c r="L690" s="4" t="str">
        <f t="shared" si="1"/>
        <v>Aug-2025</v>
      </c>
    </row>
    <row r="691" ht="15.75" customHeight="1">
      <c r="A691" s="4" t="s">
        <v>987</v>
      </c>
      <c r="B691" s="5">
        <v>45872.0</v>
      </c>
      <c r="C691" s="4" t="s">
        <v>140</v>
      </c>
      <c r="D691" s="4" t="s">
        <v>14</v>
      </c>
      <c r="E691" s="4" t="s">
        <v>29</v>
      </c>
      <c r="F691" s="4" t="s">
        <v>207</v>
      </c>
      <c r="G691" s="4">
        <v>5.0</v>
      </c>
      <c r="H691" s="6">
        <v>808.93</v>
      </c>
      <c r="I691" s="6">
        <v>4044.65</v>
      </c>
      <c r="J691" s="6">
        <v>3382.87</v>
      </c>
      <c r="K691" s="6">
        <v>661.78</v>
      </c>
      <c r="L691" s="4" t="str">
        <f t="shared" si="1"/>
        <v>Aug-2025</v>
      </c>
    </row>
    <row r="692" ht="15.75" customHeight="1">
      <c r="A692" s="4" t="s">
        <v>988</v>
      </c>
      <c r="B692" s="5">
        <v>45873.0</v>
      </c>
      <c r="C692" s="4" t="s">
        <v>61</v>
      </c>
      <c r="D692" s="4" t="s">
        <v>19</v>
      </c>
      <c r="E692" s="4" t="s">
        <v>25</v>
      </c>
      <c r="F692" s="4" t="s">
        <v>156</v>
      </c>
      <c r="G692" s="4">
        <v>6.0</v>
      </c>
      <c r="H692" s="6">
        <v>4975.6</v>
      </c>
      <c r="I692" s="6">
        <v>29853.6</v>
      </c>
      <c r="J692" s="6">
        <v>25989.37</v>
      </c>
      <c r="K692" s="6">
        <v>3864.23</v>
      </c>
      <c r="L692" s="4" t="str">
        <f t="shared" si="1"/>
        <v>Aug-2025</v>
      </c>
    </row>
    <row r="693" ht="15.75" customHeight="1">
      <c r="A693" s="4" t="s">
        <v>989</v>
      </c>
      <c r="B693" s="5">
        <v>45873.0</v>
      </c>
      <c r="C693" s="4" t="s">
        <v>92</v>
      </c>
      <c r="D693" s="4" t="s">
        <v>14</v>
      </c>
      <c r="E693" s="4" t="s">
        <v>25</v>
      </c>
      <c r="F693" s="4" t="s">
        <v>643</v>
      </c>
      <c r="G693" s="4">
        <v>4.0</v>
      </c>
      <c r="H693" s="6">
        <v>119.71</v>
      </c>
      <c r="I693" s="6">
        <v>478.84</v>
      </c>
      <c r="J693" s="6">
        <v>332.03</v>
      </c>
      <c r="K693" s="6">
        <v>146.81</v>
      </c>
      <c r="L693" s="4" t="str">
        <f t="shared" si="1"/>
        <v>Aug-2025</v>
      </c>
    </row>
    <row r="694" ht="15.75" customHeight="1">
      <c r="A694" s="4" t="s">
        <v>990</v>
      </c>
      <c r="B694" s="5">
        <v>45873.0</v>
      </c>
      <c r="C694" s="4" t="s">
        <v>50</v>
      </c>
      <c r="D694" s="4" t="s">
        <v>42</v>
      </c>
      <c r="E694" s="4" t="s">
        <v>15</v>
      </c>
      <c r="F694" s="4" t="s">
        <v>241</v>
      </c>
      <c r="G694" s="4">
        <v>3.0</v>
      </c>
      <c r="H694" s="6">
        <v>3589.73</v>
      </c>
      <c r="I694" s="6">
        <v>10769.19</v>
      </c>
      <c r="J694" s="6">
        <v>9193.39</v>
      </c>
      <c r="K694" s="6">
        <v>1575.8</v>
      </c>
      <c r="L694" s="4" t="str">
        <f t="shared" si="1"/>
        <v>Aug-2025</v>
      </c>
    </row>
    <row r="695" ht="15.75" customHeight="1">
      <c r="A695" s="4" t="s">
        <v>991</v>
      </c>
      <c r="B695" s="5">
        <v>45873.0</v>
      </c>
      <c r="C695" s="4" t="s">
        <v>155</v>
      </c>
      <c r="D695" s="4" t="s">
        <v>24</v>
      </c>
      <c r="E695" s="4" t="s">
        <v>25</v>
      </c>
      <c r="F695" s="4" t="s">
        <v>516</v>
      </c>
      <c r="G695" s="4">
        <v>3.0</v>
      </c>
      <c r="H695" s="6">
        <v>9545.07</v>
      </c>
      <c r="I695" s="6">
        <v>28635.21</v>
      </c>
      <c r="J695" s="6">
        <v>22554.1</v>
      </c>
      <c r="K695" s="6">
        <v>6081.11</v>
      </c>
      <c r="L695" s="4" t="str">
        <f t="shared" si="1"/>
        <v>Aug-2025</v>
      </c>
    </row>
    <row r="696" ht="15.75" customHeight="1">
      <c r="A696" s="4" t="s">
        <v>992</v>
      </c>
      <c r="B696" s="5">
        <v>45875.0</v>
      </c>
      <c r="C696" s="4" t="s">
        <v>75</v>
      </c>
      <c r="D696" s="4" t="s">
        <v>24</v>
      </c>
      <c r="E696" s="4" t="s">
        <v>15</v>
      </c>
      <c r="F696" s="4" t="s">
        <v>507</v>
      </c>
      <c r="G696" s="4">
        <v>5.0</v>
      </c>
      <c r="H696" s="6">
        <v>12801.94</v>
      </c>
      <c r="I696" s="6">
        <v>64009.7</v>
      </c>
      <c r="J696" s="6">
        <v>55743.8</v>
      </c>
      <c r="K696" s="6">
        <v>8265.9</v>
      </c>
      <c r="L696" s="4" t="str">
        <f t="shared" si="1"/>
        <v>Aug-2025</v>
      </c>
    </row>
    <row r="697" ht="15.75" customHeight="1">
      <c r="A697" s="4" t="s">
        <v>993</v>
      </c>
      <c r="B697" s="5">
        <v>45875.0</v>
      </c>
      <c r="C697" s="4" t="s">
        <v>75</v>
      </c>
      <c r="D697" s="4" t="s">
        <v>24</v>
      </c>
      <c r="E697" s="4" t="s">
        <v>25</v>
      </c>
      <c r="F697" s="4" t="s">
        <v>270</v>
      </c>
      <c r="G697" s="4">
        <v>1.0</v>
      </c>
      <c r="H697" s="6">
        <v>8553.49</v>
      </c>
      <c r="I697" s="6">
        <v>8553.49</v>
      </c>
      <c r="J697" s="6">
        <v>7001.52</v>
      </c>
      <c r="K697" s="6">
        <v>1551.97</v>
      </c>
      <c r="L697" s="4" t="str">
        <f t="shared" si="1"/>
        <v>Aug-2025</v>
      </c>
    </row>
    <row r="698" ht="15.75" customHeight="1">
      <c r="A698" s="4" t="s">
        <v>994</v>
      </c>
      <c r="B698" s="5">
        <v>45875.0</v>
      </c>
      <c r="C698" s="4" t="s">
        <v>18</v>
      </c>
      <c r="D698" s="4" t="s">
        <v>19</v>
      </c>
      <c r="E698" s="4" t="s">
        <v>25</v>
      </c>
      <c r="F698" s="4" t="s">
        <v>293</v>
      </c>
      <c r="G698" s="4">
        <v>2.0</v>
      </c>
      <c r="H698" s="6">
        <v>67196.19</v>
      </c>
      <c r="I698" s="6">
        <v>134392.38</v>
      </c>
      <c r="J698" s="6">
        <v>113998.61</v>
      </c>
      <c r="K698" s="6">
        <v>20393.77</v>
      </c>
      <c r="L698" s="4" t="str">
        <f t="shared" si="1"/>
        <v>Aug-2025</v>
      </c>
    </row>
    <row r="699" ht="15.75" customHeight="1">
      <c r="A699" s="4" t="s">
        <v>995</v>
      </c>
      <c r="B699" s="5">
        <v>45875.0</v>
      </c>
      <c r="C699" s="4" t="s">
        <v>155</v>
      </c>
      <c r="D699" s="4" t="s">
        <v>24</v>
      </c>
      <c r="E699" s="4" t="s">
        <v>25</v>
      </c>
      <c r="F699" s="4" t="s">
        <v>705</v>
      </c>
      <c r="G699" s="4">
        <v>7.0</v>
      </c>
      <c r="H699" s="6">
        <v>4188.64</v>
      </c>
      <c r="I699" s="6">
        <v>29320.48</v>
      </c>
      <c r="J699" s="6">
        <v>22104.74</v>
      </c>
      <c r="K699" s="6">
        <v>7215.74</v>
      </c>
      <c r="L699" s="4" t="str">
        <f t="shared" si="1"/>
        <v>Aug-2025</v>
      </c>
    </row>
    <row r="700" ht="15.75" customHeight="1">
      <c r="A700" s="4" t="s">
        <v>996</v>
      </c>
      <c r="B700" s="5">
        <v>45875.0</v>
      </c>
      <c r="C700" s="4" t="s">
        <v>155</v>
      </c>
      <c r="D700" s="4" t="s">
        <v>24</v>
      </c>
      <c r="E700" s="4" t="s">
        <v>25</v>
      </c>
      <c r="F700" s="4" t="s">
        <v>475</v>
      </c>
      <c r="G700" s="4">
        <v>6.0</v>
      </c>
      <c r="H700" s="6">
        <v>5511.88</v>
      </c>
      <c r="I700" s="6">
        <v>33071.28</v>
      </c>
      <c r="J700" s="6">
        <v>24101.7</v>
      </c>
      <c r="K700" s="6">
        <v>8969.58</v>
      </c>
      <c r="L700" s="4" t="str">
        <f t="shared" si="1"/>
        <v>Aug-2025</v>
      </c>
    </row>
    <row r="701" ht="15.75" customHeight="1">
      <c r="A701" s="4" t="s">
        <v>997</v>
      </c>
      <c r="B701" s="5">
        <v>45876.0</v>
      </c>
      <c r="C701" s="4" t="s">
        <v>18</v>
      </c>
      <c r="D701" s="4" t="s">
        <v>19</v>
      </c>
      <c r="E701" s="4" t="s">
        <v>20</v>
      </c>
      <c r="F701" s="4" t="s">
        <v>84</v>
      </c>
      <c r="G701" s="4">
        <v>6.0</v>
      </c>
      <c r="H701" s="6">
        <v>46057.66</v>
      </c>
      <c r="I701" s="6">
        <v>276345.96</v>
      </c>
      <c r="J701" s="6">
        <v>223579.72</v>
      </c>
      <c r="K701" s="6">
        <v>52766.24</v>
      </c>
      <c r="L701" s="4" t="str">
        <f t="shared" si="1"/>
        <v>Aug-2025</v>
      </c>
    </row>
    <row r="702" ht="15.75" customHeight="1">
      <c r="A702" s="4" t="s">
        <v>998</v>
      </c>
      <c r="B702" s="5">
        <v>45876.0</v>
      </c>
      <c r="C702" s="4" t="s">
        <v>61</v>
      </c>
      <c r="D702" s="4" t="s">
        <v>19</v>
      </c>
      <c r="E702" s="4" t="s">
        <v>29</v>
      </c>
      <c r="F702" s="4" t="s">
        <v>125</v>
      </c>
      <c r="G702" s="4">
        <v>4.0</v>
      </c>
      <c r="H702" s="6">
        <v>33453.27</v>
      </c>
      <c r="I702" s="6">
        <v>133813.08</v>
      </c>
      <c r="J702" s="6">
        <v>115354.62</v>
      </c>
      <c r="K702" s="6">
        <v>18458.46</v>
      </c>
      <c r="L702" s="4" t="str">
        <f t="shared" si="1"/>
        <v>Aug-2025</v>
      </c>
    </row>
    <row r="703" ht="15.75" customHeight="1">
      <c r="A703" s="4" t="s">
        <v>999</v>
      </c>
      <c r="B703" s="5">
        <v>45877.0</v>
      </c>
      <c r="C703" s="4" t="s">
        <v>75</v>
      </c>
      <c r="D703" s="4" t="s">
        <v>24</v>
      </c>
      <c r="E703" s="4" t="s">
        <v>25</v>
      </c>
      <c r="F703" s="4" t="s">
        <v>309</v>
      </c>
      <c r="G703" s="4">
        <v>6.0</v>
      </c>
      <c r="H703" s="6">
        <v>3722.46</v>
      </c>
      <c r="I703" s="6">
        <v>22334.76</v>
      </c>
      <c r="J703" s="6">
        <v>18651.46</v>
      </c>
      <c r="K703" s="6">
        <v>3683.3</v>
      </c>
      <c r="L703" s="4" t="str">
        <f t="shared" si="1"/>
        <v>Aug-2025</v>
      </c>
    </row>
    <row r="704" ht="15.75" customHeight="1">
      <c r="A704" s="4" t="s">
        <v>1000</v>
      </c>
      <c r="B704" s="5">
        <v>45877.0</v>
      </c>
      <c r="C704" s="4" t="s">
        <v>109</v>
      </c>
      <c r="D704" s="4" t="s">
        <v>42</v>
      </c>
      <c r="E704" s="4" t="s">
        <v>15</v>
      </c>
      <c r="F704" s="4" t="s">
        <v>561</v>
      </c>
      <c r="G704" s="4">
        <v>7.0</v>
      </c>
      <c r="H704" s="6">
        <v>4839.79</v>
      </c>
      <c r="I704" s="6">
        <v>33878.53</v>
      </c>
      <c r="J704" s="6">
        <v>26995.59</v>
      </c>
      <c r="K704" s="6">
        <v>6882.94</v>
      </c>
      <c r="L704" s="4" t="str">
        <f t="shared" si="1"/>
        <v>Aug-2025</v>
      </c>
    </row>
    <row r="705" ht="15.75" customHeight="1">
      <c r="A705" s="4" t="s">
        <v>1001</v>
      </c>
      <c r="B705" s="5">
        <v>45877.0</v>
      </c>
      <c r="C705" s="4" t="s">
        <v>69</v>
      </c>
      <c r="D705" s="4" t="s">
        <v>19</v>
      </c>
      <c r="E705" s="4" t="s">
        <v>20</v>
      </c>
      <c r="F705" s="4" t="s">
        <v>1002</v>
      </c>
      <c r="G705" s="4">
        <v>1.0</v>
      </c>
      <c r="H705" s="6">
        <v>23906.87</v>
      </c>
      <c r="I705" s="6">
        <v>23906.87</v>
      </c>
      <c r="J705" s="6">
        <v>19184.28</v>
      </c>
      <c r="K705" s="6">
        <v>4722.59</v>
      </c>
      <c r="L705" s="4" t="str">
        <f t="shared" si="1"/>
        <v>Aug-2025</v>
      </c>
    </row>
    <row r="706" ht="15.75" customHeight="1">
      <c r="A706" s="4" t="s">
        <v>1003</v>
      </c>
      <c r="B706" s="5">
        <v>45877.0</v>
      </c>
      <c r="C706" s="4" t="s">
        <v>140</v>
      </c>
      <c r="D706" s="4" t="s">
        <v>14</v>
      </c>
      <c r="E706" s="4" t="s">
        <v>29</v>
      </c>
      <c r="F706" s="4" t="s">
        <v>459</v>
      </c>
      <c r="G706" s="4">
        <v>1.0</v>
      </c>
      <c r="H706" s="6">
        <v>96.08</v>
      </c>
      <c r="I706" s="6">
        <v>96.08</v>
      </c>
      <c r="J706" s="6">
        <v>79.31</v>
      </c>
      <c r="K706" s="6">
        <v>16.77</v>
      </c>
      <c r="L706" s="4" t="str">
        <f t="shared" si="1"/>
        <v>Aug-2025</v>
      </c>
    </row>
    <row r="707" ht="15.75" customHeight="1">
      <c r="A707" s="4" t="s">
        <v>1004</v>
      </c>
      <c r="B707" s="5">
        <v>45877.0</v>
      </c>
      <c r="C707" s="4" t="s">
        <v>47</v>
      </c>
      <c r="D707" s="4" t="s">
        <v>14</v>
      </c>
      <c r="E707" s="4" t="s">
        <v>25</v>
      </c>
      <c r="F707" s="4" t="s">
        <v>392</v>
      </c>
      <c r="G707" s="4">
        <v>1.0</v>
      </c>
      <c r="H707" s="6">
        <v>987.58</v>
      </c>
      <c r="I707" s="6">
        <v>987.58</v>
      </c>
      <c r="J707" s="6">
        <v>687.35</v>
      </c>
      <c r="K707" s="6">
        <v>300.23</v>
      </c>
      <c r="L707" s="4" t="str">
        <f t="shared" si="1"/>
        <v>Aug-2025</v>
      </c>
    </row>
    <row r="708" ht="15.75" customHeight="1">
      <c r="A708" s="4" t="s">
        <v>1005</v>
      </c>
      <c r="B708" s="5">
        <v>45878.0</v>
      </c>
      <c r="C708" s="4" t="s">
        <v>18</v>
      </c>
      <c r="D708" s="4" t="s">
        <v>19</v>
      </c>
      <c r="E708" s="4" t="s">
        <v>29</v>
      </c>
      <c r="F708" s="4" t="s">
        <v>266</v>
      </c>
      <c r="G708" s="4">
        <v>7.0</v>
      </c>
      <c r="H708" s="6">
        <v>69609.75</v>
      </c>
      <c r="I708" s="6">
        <v>487268.25</v>
      </c>
      <c r="J708" s="6">
        <v>426892.65</v>
      </c>
      <c r="K708" s="6">
        <v>60375.6</v>
      </c>
      <c r="L708" s="4" t="str">
        <f t="shared" si="1"/>
        <v>Aug-2025</v>
      </c>
    </row>
    <row r="709" ht="15.75" customHeight="1">
      <c r="A709" s="4" t="s">
        <v>1006</v>
      </c>
      <c r="B709" s="5">
        <v>45878.0</v>
      </c>
      <c r="C709" s="4" t="s">
        <v>92</v>
      </c>
      <c r="D709" s="4" t="s">
        <v>14</v>
      </c>
      <c r="E709" s="4" t="s">
        <v>20</v>
      </c>
      <c r="F709" s="4" t="s">
        <v>105</v>
      </c>
      <c r="G709" s="4">
        <v>7.0</v>
      </c>
      <c r="H709" s="6">
        <v>554.55</v>
      </c>
      <c r="I709" s="6">
        <v>3881.85</v>
      </c>
      <c r="J709" s="6">
        <v>3228.72</v>
      </c>
      <c r="K709" s="6">
        <v>653.13</v>
      </c>
      <c r="L709" s="4" t="str">
        <f t="shared" si="1"/>
        <v>Aug-2025</v>
      </c>
    </row>
    <row r="710" ht="15.75" customHeight="1">
      <c r="A710" s="4" t="s">
        <v>1007</v>
      </c>
      <c r="B710" s="5">
        <v>45878.0</v>
      </c>
      <c r="C710" s="4" t="s">
        <v>180</v>
      </c>
      <c r="D710" s="4" t="s">
        <v>19</v>
      </c>
      <c r="E710" s="4" t="s">
        <v>29</v>
      </c>
      <c r="F710" s="4" t="s">
        <v>95</v>
      </c>
      <c r="G710" s="4">
        <v>6.0</v>
      </c>
      <c r="H710" s="6">
        <v>36474.33</v>
      </c>
      <c r="I710" s="6">
        <v>218845.98</v>
      </c>
      <c r="J710" s="6">
        <v>175286.46</v>
      </c>
      <c r="K710" s="6">
        <v>43559.52</v>
      </c>
      <c r="L710" s="4" t="str">
        <f t="shared" si="1"/>
        <v>Aug-2025</v>
      </c>
    </row>
    <row r="711" ht="15.75" customHeight="1">
      <c r="A711" s="4" t="s">
        <v>1008</v>
      </c>
      <c r="B711" s="5">
        <v>45879.0</v>
      </c>
      <c r="C711" s="4" t="s">
        <v>41</v>
      </c>
      <c r="D711" s="4" t="s">
        <v>42</v>
      </c>
      <c r="E711" s="4" t="s">
        <v>15</v>
      </c>
      <c r="F711" s="4" t="s">
        <v>173</v>
      </c>
      <c r="G711" s="4">
        <v>7.0</v>
      </c>
      <c r="H711" s="6">
        <v>515.01</v>
      </c>
      <c r="I711" s="6">
        <v>3605.07</v>
      </c>
      <c r="J711" s="6">
        <v>3106.31</v>
      </c>
      <c r="K711" s="6">
        <v>498.76</v>
      </c>
      <c r="L711" s="4" t="str">
        <f t="shared" si="1"/>
        <v>Aug-2025</v>
      </c>
    </row>
    <row r="712" ht="15.75" customHeight="1">
      <c r="A712" s="4" t="s">
        <v>1009</v>
      </c>
      <c r="B712" s="5">
        <v>45879.0</v>
      </c>
      <c r="C712" s="4" t="s">
        <v>72</v>
      </c>
      <c r="D712" s="4" t="s">
        <v>24</v>
      </c>
      <c r="E712" s="4" t="s">
        <v>29</v>
      </c>
      <c r="F712" s="4" t="s">
        <v>633</v>
      </c>
      <c r="G712" s="4">
        <v>2.0</v>
      </c>
      <c r="H712" s="6">
        <v>3529.5</v>
      </c>
      <c r="I712" s="6">
        <v>7059.0</v>
      </c>
      <c r="J712" s="6">
        <v>5701.1</v>
      </c>
      <c r="K712" s="6">
        <v>1357.9</v>
      </c>
      <c r="L712" s="4" t="str">
        <f t="shared" si="1"/>
        <v>Aug-2025</v>
      </c>
    </row>
    <row r="713" ht="15.75" customHeight="1">
      <c r="A713" s="4" t="s">
        <v>1010</v>
      </c>
      <c r="B713" s="5">
        <v>45880.0</v>
      </c>
      <c r="C713" s="4" t="s">
        <v>38</v>
      </c>
      <c r="D713" s="4" t="s">
        <v>19</v>
      </c>
      <c r="E713" s="4" t="s">
        <v>15</v>
      </c>
      <c r="F713" s="4" t="s">
        <v>516</v>
      </c>
      <c r="G713" s="4">
        <v>4.0</v>
      </c>
      <c r="H713" s="6">
        <v>5052.43</v>
      </c>
      <c r="I713" s="6">
        <v>20209.72</v>
      </c>
      <c r="J713" s="6">
        <v>18169.53</v>
      </c>
      <c r="K713" s="6">
        <v>2040.19</v>
      </c>
      <c r="L713" s="4" t="str">
        <f t="shared" si="1"/>
        <v>Aug-2025</v>
      </c>
    </row>
    <row r="714" ht="15.75" customHeight="1">
      <c r="A714" s="4" t="s">
        <v>1011</v>
      </c>
      <c r="B714" s="5">
        <v>45880.0</v>
      </c>
      <c r="C714" s="4" t="s">
        <v>109</v>
      </c>
      <c r="D714" s="4" t="s">
        <v>42</v>
      </c>
      <c r="E714" s="4" t="s">
        <v>20</v>
      </c>
      <c r="F714" s="4" t="s">
        <v>307</v>
      </c>
      <c r="G714" s="4">
        <v>3.0</v>
      </c>
      <c r="H714" s="6">
        <v>3742.05</v>
      </c>
      <c r="I714" s="6">
        <v>11226.15</v>
      </c>
      <c r="J714" s="6">
        <v>9670.66</v>
      </c>
      <c r="K714" s="6">
        <v>1555.49</v>
      </c>
      <c r="L714" s="4" t="str">
        <f t="shared" si="1"/>
        <v>Aug-2025</v>
      </c>
    </row>
    <row r="715" ht="15.75" customHeight="1">
      <c r="A715" s="4" t="s">
        <v>1012</v>
      </c>
      <c r="B715" s="5">
        <v>45880.0</v>
      </c>
      <c r="C715" s="4" t="s">
        <v>32</v>
      </c>
      <c r="D715" s="4" t="s">
        <v>19</v>
      </c>
      <c r="E715" s="4" t="s">
        <v>29</v>
      </c>
      <c r="F715" s="4" t="s">
        <v>359</v>
      </c>
      <c r="G715" s="4">
        <v>5.0</v>
      </c>
      <c r="H715" s="6">
        <v>8074.9</v>
      </c>
      <c r="I715" s="6">
        <v>40374.5</v>
      </c>
      <c r="J715" s="6">
        <v>34592.14</v>
      </c>
      <c r="K715" s="6">
        <v>5782.36</v>
      </c>
      <c r="L715" s="4" t="str">
        <f t="shared" si="1"/>
        <v>Aug-2025</v>
      </c>
    </row>
    <row r="716" ht="15.75" customHeight="1">
      <c r="A716" s="4" t="s">
        <v>1013</v>
      </c>
      <c r="B716" s="5">
        <v>45880.0</v>
      </c>
      <c r="C716" s="4" t="s">
        <v>140</v>
      </c>
      <c r="D716" s="4" t="s">
        <v>14</v>
      </c>
      <c r="E716" s="4" t="s">
        <v>25</v>
      </c>
      <c r="F716" s="4" t="s">
        <v>334</v>
      </c>
      <c r="G716" s="4">
        <v>2.0</v>
      </c>
      <c r="H716" s="6">
        <v>68.85</v>
      </c>
      <c r="I716" s="6">
        <v>137.7</v>
      </c>
      <c r="J716" s="6">
        <v>116.42</v>
      </c>
      <c r="K716" s="6">
        <v>21.28</v>
      </c>
      <c r="L716" s="4" t="str">
        <f t="shared" si="1"/>
        <v>Aug-2025</v>
      </c>
    </row>
    <row r="717" ht="15.75" customHeight="1">
      <c r="A717" s="4" t="s">
        <v>1014</v>
      </c>
      <c r="B717" s="5">
        <v>45881.0</v>
      </c>
      <c r="C717" s="4" t="s">
        <v>92</v>
      </c>
      <c r="D717" s="4" t="s">
        <v>14</v>
      </c>
      <c r="E717" s="4" t="s">
        <v>15</v>
      </c>
      <c r="F717" s="4" t="s">
        <v>573</v>
      </c>
      <c r="G717" s="4">
        <v>6.0</v>
      </c>
      <c r="H717" s="6">
        <v>964.08</v>
      </c>
      <c r="I717" s="6">
        <v>5784.48</v>
      </c>
      <c r="J717" s="6">
        <v>4146.52</v>
      </c>
      <c r="K717" s="6">
        <v>1637.96</v>
      </c>
      <c r="L717" s="4" t="str">
        <f t="shared" si="1"/>
        <v>Aug-2025</v>
      </c>
    </row>
    <row r="718" ht="15.75" customHeight="1">
      <c r="A718" s="4" t="s">
        <v>1015</v>
      </c>
      <c r="B718" s="5">
        <v>45882.0</v>
      </c>
      <c r="C718" s="4" t="s">
        <v>28</v>
      </c>
      <c r="D718" s="4" t="s">
        <v>14</v>
      </c>
      <c r="E718" s="4" t="s">
        <v>29</v>
      </c>
      <c r="F718" s="4" t="s">
        <v>223</v>
      </c>
      <c r="G718" s="4">
        <v>4.0</v>
      </c>
      <c r="H718" s="6">
        <v>1100.41</v>
      </c>
      <c r="I718" s="6">
        <v>4401.64</v>
      </c>
      <c r="J718" s="6">
        <v>3475.03</v>
      </c>
      <c r="K718" s="6">
        <v>926.61</v>
      </c>
      <c r="L718" s="4" t="str">
        <f t="shared" si="1"/>
        <v>Aug-2025</v>
      </c>
    </row>
    <row r="719" ht="15.75" customHeight="1">
      <c r="A719" s="4" t="s">
        <v>1016</v>
      </c>
      <c r="B719" s="5">
        <v>45882.0</v>
      </c>
      <c r="C719" s="4" t="s">
        <v>13</v>
      </c>
      <c r="D719" s="4" t="s">
        <v>14</v>
      </c>
      <c r="E719" s="4" t="s">
        <v>25</v>
      </c>
      <c r="F719" s="4" t="s">
        <v>153</v>
      </c>
      <c r="G719" s="4">
        <v>3.0</v>
      </c>
      <c r="H719" s="6">
        <v>564.42</v>
      </c>
      <c r="I719" s="6">
        <v>1693.26</v>
      </c>
      <c r="J719" s="6">
        <v>1243.91</v>
      </c>
      <c r="K719" s="6">
        <v>449.35</v>
      </c>
      <c r="L719" s="4" t="str">
        <f t="shared" si="1"/>
        <v>Aug-2025</v>
      </c>
    </row>
    <row r="720" ht="15.75" customHeight="1">
      <c r="A720" s="4" t="s">
        <v>1017</v>
      </c>
      <c r="B720" s="5">
        <v>45883.0</v>
      </c>
      <c r="C720" s="4" t="s">
        <v>35</v>
      </c>
      <c r="D720" s="4" t="s">
        <v>14</v>
      </c>
      <c r="E720" s="4" t="s">
        <v>25</v>
      </c>
      <c r="F720" s="4" t="s">
        <v>434</v>
      </c>
      <c r="G720" s="4">
        <v>2.0</v>
      </c>
      <c r="H720" s="6">
        <v>857.26</v>
      </c>
      <c r="I720" s="6">
        <v>1714.52</v>
      </c>
      <c r="J720" s="6">
        <v>1403.65</v>
      </c>
      <c r="K720" s="6">
        <v>310.87</v>
      </c>
      <c r="L720" s="4" t="str">
        <f t="shared" si="1"/>
        <v>Aug-2025</v>
      </c>
    </row>
    <row r="721" ht="15.75" customHeight="1">
      <c r="A721" s="4" t="s">
        <v>1018</v>
      </c>
      <c r="B721" s="5">
        <v>45883.0</v>
      </c>
      <c r="C721" s="4" t="s">
        <v>69</v>
      </c>
      <c r="D721" s="4" t="s">
        <v>19</v>
      </c>
      <c r="E721" s="4" t="s">
        <v>20</v>
      </c>
      <c r="F721" s="4" t="s">
        <v>962</v>
      </c>
      <c r="G721" s="4">
        <v>1.0</v>
      </c>
      <c r="H721" s="6">
        <v>48701.46</v>
      </c>
      <c r="I721" s="6">
        <v>48701.46</v>
      </c>
      <c r="J721" s="6">
        <v>44538.94</v>
      </c>
      <c r="K721" s="6">
        <v>4162.52</v>
      </c>
      <c r="L721" s="4" t="str">
        <f t="shared" si="1"/>
        <v>Aug-2025</v>
      </c>
    </row>
    <row r="722" ht="15.75" customHeight="1">
      <c r="A722" s="4" t="s">
        <v>1019</v>
      </c>
      <c r="B722" s="5">
        <v>45883.0</v>
      </c>
      <c r="C722" s="4" t="s">
        <v>38</v>
      </c>
      <c r="D722" s="4" t="s">
        <v>19</v>
      </c>
      <c r="E722" s="4" t="s">
        <v>25</v>
      </c>
      <c r="F722" s="4" t="s">
        <v>315</v>
      </c>
      <c r="G722" s="4">
        <v>1.0</v>
      </c>
      <c r="H722" s="6">
        <v>14633.72</v>
      </c>
      <c r="I722" s="6">
        <v>14633.72</v>
      </c>
      <c r="J722" s="6">
        <v>12094.04</v>
      </c>
      <c r="K722" s="6">
        <v>2539.68</v>
      </c>
      <c r="L722" s="4" t="str">
        <f t="shared" si="1"/>
        <v>Aug-2025</v>
      </c>
    </row>
    <row r="723" ht="15.75" customHeight="1">
      <c r="A723" s="4" t="s">
        <v>1020</v>
      </c>
      <c r="B723" s="5">
        <v>45883.0</v>
      </c>
      <c r="C723" s="4" t="s">
        <v>13</v>
      </c>
      <c r="D723" s="4" t="s">
        <v>14</v>
      </c>
      <c r="E723" s="4" t="s">
        <v>15</v>
      </c>
      <c r="F723" s="4" t="s">
        <v>945</v>
      </c>
      <c r="G723" s="4">
        <v>7.0</v>
      </c>
      <c r="H723" s="6">
        <v>673.03</v>
      </c>
      <c r="I723" s="6">
        <v>4711.21</v>
      </c>
      <c r="J723" s="6">
        <v>3546.31</v>
      </c>
      <c r="K723" s="6">
        <v>1164.9</v>
      </c>
      <c r="L723" s="4" t="str">
        <f t="shared" si="1"/>
        <v>Aug-2025</v>
      </c>
    </row>
    <row r="724" ht="15.75" customHeight="1">
      <c r="A724" s="4" t="s">
        <v>1021</v>
      </c>
      <c r="B724" s="5">
        <v>45883.0</v>
      </c>
      <c r="C724" s="4" t="s">
        <v>160</v>
      </c>
      <c r="D724" s="4" t="s">
        <v>42</v>
      </c>
      <c r="E724" s="4" t="s">
        <v>29</v>
      </c>
      <c r="F724" s="4" t="s">
        <v>302</v>
      </c>
      <c r="G724" s="4">
        <v>4.0</v>
      </c>
      <c r="H724" s="6">
        <v>2548.29</v>
      </c>
      <c r="I724" s="6">
        <v>10193.16</v>
      </c>
      <c r="J724" s="6">
        <v>7760.6</v>
      </c>
      <c r="K724" s="6">
        <v>2432.56</v>
      </c>
      <c r="L724" s="4" t="str">
        <f t="shared" si="1"/>
        <v>Aug-2025</v>
      </c>
    </row>
    <row r="725" ht="15.75" customHeight="1">
      <c r="A725" s="4" t="s">
        <v>1022</v>
      </c>
      <c r="B725" s="5">
        <v>45883.0</v>
      </c>
      <c r="C725" s="4" t="s">
        <v>75</v>
      </c>
      <c r="D725" s="4" t="s">
        <v>24</v>
      </c>
      <c r="E725" s="4" t="s">
        <v>29</v>
      </c>
      <c r="F725" s="4" t="s">
        <v>213</v>
      </c>
      <c r="G725" s="4">
        <v>3.0</v>
      </c>
      <c r="H725" s="6">
        <v>17108.24</v>
      </c>
      <c r="I725" s="6">
        <v>51324.72</v>
      </c>
      <c r="J725" s="6">
        <v>44015.15</v>
      </c>
      <c r="K725" s="6">
        <v>7309.57</v>
      </c>
      <c r="L725" s="4" t="str">
        <f t="shared" si="1"/>
        <v>Aug-2025</v>
      </c>
    </row>
    <row r="726" ht="15.75" customHeight="1">
      <c r="A726" s="4" t="s">
        <v>1023</v>
      </c>
      <c r="B726" s="5">
        <v>45883.0</v>
      </c>
      <c r="C726" s="4" t="s">
        <v>109</v>
      </c>
      <c r="D726" s="4" t="s">
        <v>42</v>
      </c>
      <c r="E726" s="4" t="s">
        <v>29</v>
      </c>
      <c r="F726" s="4" t="s">
        <v>626</v>
      </c>
      <c r="G726" s="4">
        <v>2.0</v>
      </c>
      <c r="H726" s="6">
        <v>2542.96</v>
      </c>
      <c r="I726" s="6">
        <v>5085.92</v>
      </c>
      <c r="J726" s="6">
        <v>4097.85</v>
      </c>
      <c r="K726" s="6">
        <v>988.07</v>
      </c>
      <c r="L726" s="4" t="str">
        <f t="shared" si="1"/>
        <v>Aug-2025</v>
      </c>
    </row>
    <row r="727" ht="15.75" customHeight="1">
      <c r="A727" s="4" t="s">
        <v>1024</v>
      </c>
      <c r="B727" s="5">
        <v>45883.0</v>
      </c>
      <c r="C727" s="4" t="s">
        <v>180</v>
      </c>
      <c r="D727" s="4" t="s">
        <v>19</v>
      </c>
      <c r="E727" s="4" t="s">
        <v>25</v>
      </c>
      <c r="F727" s="4" t="s">
        <v>243</v>
      </c>
      <c r="G727" s="4">
        <v>4.0</v>
      </c>
      <c r="H727" s="6">
        <v>60855.22</v>
      </c>
      <c r="I727" s="6">
        <v>243420.88</v>
      </c>
      <c r="J727" s="6">
        <v>212868.15</v>
      </c>
      <c r="K727" s="6">
        <v>30552.73</v>
      </c>
      <c r="L727" s="4" t="str">
        <f t="shared" si="1"/>
        <v>Aug-2025</v>
      </c>
    </row>
    <row r="728" ht="15.75" customHeight="1">
      <c r="A728" s="4" t="s">
        <v>1025</v>
      </c>
      <c r="B728" s="5">
        <v>45884.0</v>
      </c>
      <c r="C728" s="4" t="s">
        <v>140</v>
      </c>
      <c r="D728" s="4" t="s">
        <v>14</v>
      </c>
      <c r="E728" s="4" t="s">
        <v>29</v>
      </c>
      <c r="F728" s="4" t="s">
        <v>559</v>
      </c>
      <c r="G728" s="4">
        <v>7.0</v>
      </c>
      <c r="H728" s="6">
        <v>811.88</v>
      </c>
      <c r="I728" s="6">
        <v>5683.16</v>
      </c>
      <c r="J728" s="6">
        <v>4351.76</v>
      </c>
      <c r="K728" s="6">
        <v>1331.4</v>
      </c>
      <c r="L728" s="4" t="str">
        <f t="shared" si="1"/>
        <v>Aug-2025</v>
      </c>
    </row>
    <row r="729" ht="15.75" customHeight="1">
      <c r="A729" s="4" t="s">
        <v>1026</v>
      </c>
      <c r="B729" s="5">
        <v>45885.0</v>
      </c>
      <c r="C729" s="4" t="s">
        <v>13</v>
      </c>
      <c r="D729" s="4" t="s">
        <v>14</v>
      </c>
      <c r="E729" s="4" t="s">
        <v>15</v>
      </c>
      <c r="F729" s="4" t="s">
        <v>64</v>
      </c>
      <c r="G729" s="4">
        <v>6.0</v>
      </c>
      <c r="H729" s="6">
        <v>1202.0</v>
      </c>
      <c r="I729" s="6">
        <v>7212.0</v>
      </c>
      <c r="J729" s="6">
        <v>5746.25</v>
      </c>
      <c r="K729" s="6">
        <v>1465.75</v>
      </c>
      <c r="L729" s="4" t="str">
        <f t="shared" si="1"/>
        <v>Aug-2025</v>
      </c>
    </row>
    <row r="730" ht="15.75" customHeight="1">
      <c r="A730" s="4" t="s">
        <v>1027</v>
      </c>
      <c r="B730" s="5">
        <v>45885.0</v>
      </c>
      <c r="C730" s="4" t="s">
        <v>47</v>
      </c>
      <c r="D730" s="4" t="s">
        <v>14</v>
      </c>
      <c r="E730" s="4" t="s">
        <v>15</v>
      </c>
      <c r="F730" s="4" t="s">
        <v>352</v>
      </c>
      <c r="G730" s="4">
        <v>5.0</v>
      </c>
      <c r="H730" s="6">
        <v>809.32</v>
      </c>
      <c r="I730" s="6">
        <v>4046.6</v>
      </c>
      <c r="J730" s="6">
        <v>2826.36</v>
      </c>
      <c r="K730" s="6">
        <v>1220.24</v>
      </c>
      <c r="L730" s="4" t="str">
        <f t="shared" si="1"/>
        <v>Aug-2025</v>
      </c>
    </row>
    <row r="731" ht="15.75" customHeight="1">
      <c r="A731" s="4" t="s">
        <v>1028</v>
      </c>
      <c r="B731" s="5">
        <v>45886.0</v>
      </c>
      <c r="C731" s="4" t="s">
        <v>23</v>
      </c>
      <c r="D731" s="4" t="s">
        <v>24</v>
      </c>
      <c r="E731" s="4" t="s">
        <v>29</v>
      </c>
      <c r="F731" s="4" t="s">
        <v>150</v>
      </c>
      <c r="G731" s="4">
        <v>5.0</v>
      </c>
      <c r="H731" s="6">
        <v>2460.84</v>
      </c>
      <c r="I731" s="6">
        <v>12304.2</v>
      </c>
      <c r="J731" s="6">
        <v>10343.49</v>
      </c>
      <c r="K731" s="6">
        <v>1960.71</v>
      </c>
      <c r="L731" s="4" t="str">
        <f t="shared" si="1"/>
        <v>Aug-2025</v>
      </c>
    </row>
    <row r="732" ht="15.75" customHeight="1">
      <c r="A732" s="4" t="s">
        <v>1029</v>
      </c>
      <c r="B732" s="5">
        <v>45886.0</v>
      </c>
      <c r="C732" s="4" t="s">
        <v>66</v>
      </c>
      <c r="D732" s="4" t="s">
        <v>42</v>
      </c>
      <c r="E732" s="4" t="s">
        <v>29</v>
      </c>
      <c r="F732" s="4" t="s">
        <v>1030</v>
      </c>
      <c r="G732" s="4">
        <v>6.0</v>
      </c>
      <c r="H732" s="6">
        <v>305.92</v>
      </c>
      <c r="I732" s="6">
        <v>1835.52</v>
      </c>
      <c r="J732" s="6">
        <v>1574.78</v>
      </c>
      <c r="K732" s="6">
        <v>260.74</v>
      </c>
      <c r="L732" s="4" t="str">
        <f t="shared" si="1"/>
        <v>Aug-2025</v>
      </c>
    </row>
    <row r="733" ht="15.75" customHeight="1">
      <c r="A733" s="4" t="s">
        <v>1032</v>
      </c>
      <c r="B733" s="5">
        <v>45886.0</v>
      </c>
      <c r="C733" s="4" t="s">
        <v>35</v>
      </c>
      <c r="D733" s="4" t="s">
        <v>14</v>
      </c>
      <c r="E733" s="4" t="s">
        <v>29</v>
      </c>
      <c r="F733" s="4" t="s">
        <v>461</v>
      </c>
      <c r="G733" s="4">
        <v>7.0</v>
      </c>
      <c r="H733" s="6">
        <v>1093.5</v>
      </c>
      <c r="I733" s="6">
        <v>7654.5</v>
      </c>
      <c r="J733" s="6">
        <v>5555.76</v>
      </c>
      <c r="K733" s="6">
        <v>2098.74</v>
      </c>
      <c r="L733" s="4" t="str">
        <f t="shared" si="1"/>
        <v>Aug-2025</v>
      </c>
    </row>
    <row r="734" ht="15.75" customHeight="1">
      <c r="A734" s="4" t="s">
        <v>1033</v>
      </c>
      <c r="B734" s="5">
        <v>45887.0</v>
      </c>
      <c r="C734" s="4" t="s">
        <v>72</v>
      </c>
      <c r="D734" s="4" t="s">
        <v>24</v>
      </c>
      <c r="E734" s="4" t="s">
        <v>15</v>
      </c>
      <c r="F734" s="4" t="s">
        <v>510</v>
      </c>
      <c r="G734" s="4">
        <v>6.0</v>
      </c>
      <c r="H734" s="6">
        <v>17530.42</v>
      </c>
      <c r="I734" s="6">
        <v>105182.52</v>
      </c>
      <c r="J734" s="6">
        <v>80509.33</v>
      </c>
      <c r="K734" s="6">
        <v>24673.19</v>
      </c>
      <c r="L734" s="4" t="str">
        <f t="shared" si="1"/>
        <v>Aug-2025</v>
      </c>
    </row>
    <row r="735" ht="15.75" customHeight="1">
      <c r="A735" s="4" t="s">
        <v>1034</v>
      </c>
      <c r="B735" s="5">
        <v>45887.0</v>
      </c>
      <c r="C735" s="4" t="s">
        <v>72</v>
      </c>
      <c r="D735" s="4" t="s">
        <v>24</v>
      </c>
      <c r="E735" s="4" t="s">
        <v>15</v>
      </c>
      <c r="F735" s="4" t="s">
        <v>129</v>
      </c>
      <c r="G735" s="4">
        <v>5.0</v>
      </c>
      <c r="H735" s="6">
        <v>14210.67</v>
      </c>
      <c r="I735" s="6">
        <v>71053.35</v>
      </c>
      <c r="J735" s="6">
        <v>57480.41</v>
      </c>
      <c r="K735" s="6">
        <v>13572.94</v>
      </c>
      <c r="L735" s="4" t="str">
        <f t="shared" si="1"/>
        <v>Aug-2025</v>
      </c>
    </row>
    <row r="736" ht="15.75" customHeight="1">
      <c r="A736" s="4" t="s">
        <v>1035</v>
      </c>
      <c r="B736" s="5">
        <v>45887.0</v>
      </c>
      <c r="C736" s="4" t="s">
        <v>47</v>
      </c>
      <c r="D736" s="4" t="s">
        <v>14</v>
      </c>
      <c r="E736" s="4" t="s">
        <v>15</v>
      </c>
      <c r="F736" s="4" t="s">
        <v>127</v>
      </c>
      <c r="G736" s="4">
        <v>5.0</v>
      </c>
      <c r="H736" s="6">
        <v>1469.34</v>
      </c>
      <c r="I736" s="6">
        <v>7346.7</v>
      </c>
      <c r="J736" s="6">
        <v>6112.36</v>
      </c>
      <c r="K736" s="6">
        <v>1234.34</v>
      </c>
      <c r="L736" s="4" t="str">
        <f t="shared" si="1"/>
        <v>Aug-2025</v>
      </c>
    </row>
    <row r="737" ht="15.75" customHeight="1">
      <c r="A737" s="4" t="s">
        <v>1036</v>
      </c>
      <c r="B737" s="5">
        <v>45887.0</v>
      </c>
      <c r="C737" s="4" t="s">
        <v>102</v>
      </c>
      <c r="D737" s="4" t="s">
        <v>24</v>
      </c>
      <c r="E737" s="4" t="s">
        <v>15</v>
      </c>
      <c r="F737" s="4" t="s">
        <v>362</v>
      </c>
      <c r="G737" s="4">
        <v>4.0</v>
      </c>
      <c r="H737" s="6">
        <v>16234.28</v>
      </c>
      <c r="I737" s="6">
        <v>64937.12</v>
      </c>
      <c r="J737" s="6">
        <v>51085.98</v>
      </c>
      <c r="K737" s="6">
        <v>13851.14</v>
      </c>
      <c r="L737" s="4" t="str">
        <f t="shared" si="1"/>
        <v>Aug-2025</v>
      </c>
    </row>
    <row r="738" ht="15.75" customHeight="1">
      <c r="A738" s="4" t="s">
        <v>1040</v>
      </c>
      <c r="B738" s="5">
        <v>45888.0</v>
      </c>
      <c r="C738" s="4" t="s">
        <v>61</v>
      </c>
      <c r="D738" s="4" t="s">
        <v>19</v>
      </c>
      <c r="E738" s="4" t="s">
        <v>20</v>
      </c>
      <c r="F738" s="4" t="s">
        <v>516</v>
      </c>
      <c r="G738" s="4">
        <v>6.0</v>
      </c>
      <c r="H738" s="6">
        <v>18647.44</v>
      </c>
      <c r="I738" s="6">
        <v>111884.64</v>
      </c>
      <c r="J738" s="6">
        <v>93906.34</v>
      </c>
      <c r="K738" s="6">
        <v>17978.3</v>
      </c>
      <c r="L738" s="4" t="str">
        <f t="shared" si="1"/>
        <v>Aug-2025</v>
      </c>
    </row>
    <row r="739" ht="15.75" customHeight="1">
      <c r="A739" s="4" t="s">
        <v>1042</v>
      </c>
      <c r="B739" s="5">
        <v>45888.0</v>
      </c>
      <c r="C739" s="4" t="s">
        <v>75</v>
      </c>
      <c r="D739" s="4" t="s">
        <v>24</v>
      </c>
      <c r="E739" s="4" t="s">
        <v>15</v>
      </c>
      <c r="F739" s="4" t="s">
        <v>552</v>
      </c>
      <c r="G739" s="4">
        <v>1.0</v>
      </c>
      <c r="H739" s="6">
        <v>6466.09</v>
      </c>
      <c r="I739" s="6">
        <v>6466.09</v>
      </c>
      <c r="J739" s="6">
        <v>5097.58</v>
      </c>
      <c r="K739" s="6">
        <v>1368.51</v>
      </c>
      <c r="L739" s="4" t="str">
        <f t="shared" si="1"/>
        <v>Aug-2025</v>
      </c>
    </row>
    <row r="740" ht="15.75" customHeight="1">
      <c r="A740" s="4" t="s">
        <v>1043</v>
      </c>
      <c r="B740" s="5">
        <v>45888.0</v>
      </c>
      <c r="C740" s="4" t="s">
        <v>35</v>
      </c>
      <c r="D740" s="4" t="s">
        <v>14</v>
      </c>
      <c r="E740" s="4" t="s">
        <v>15</v>
      </c>
      <c r="F740" s="4" t="s">
        <v>171</v>
      </c>
      <c r="G740" s="4">
        <v>4.0</v>
      </c>
      <c r="H740" s="6">
        <v>1301.5</v>
      </c>
      <c r="I740" s="6">
        <v>5206.0</v>
      </c>
      <c r="J740" s="6">
        <v>4368.85</v>
      </c>
      <c r="K740" s="6">
        <v>837.15</v>
      </c>
      <c r="L740" s="4" t="str">
        <f t="shared" si="1"/>
        <v>Aug-2025</v>
      </c>
    </row>
    <row r="741" ht="15.75" customHeight="1">
      <c r="A741" s="4" t="s">
        <v>1044</v>
      </c>
      <c r="B741" s="5">
        <v>45888.0</v>
      </c>
      <c r="C741" s="4" t="s">
        <v>61</v>
      </c>
      <c r="D741" s="4" t="s">
        <v>19</v>
      </c>
      <c r="E741" s="4" t="s">
        <v>15</v>
      </c>
      <c r="F741" s="4" t="s">
        <v>820</v>
      </c>
      <c r="G741" s="4">
        <v>6.0</v>
      </c>
      <c r="H741" s="6">
        <v>3720.65</v>
      </c>
      <c r="I741" s="6">
        <v>22323.9</v>
      </c>
      <c r="J741" s="6">
        <v>20479.46</v>
      </c>
      <c r="K741" s="6">
        <v>1844.44</v>
      </c>
      <c r="L741" s="4" t="str">
        <f t="shared" si="1"/>
        <v>Aug-2025</v>
      </c>
    </row>
    <row r="742" ht="15.75" customHeight="1">
      <c r="A742" s="4" t="s">
        <v>1045</v>
      </c>
      <c r="B742" s="5">
        <v>45888.0</v>
      </c>
      <c r="C742" s="4" t="s">
        <v>47</v>
      </c>
      <c r="D742" s="4" t="s">
        <v>14</v>
      </c>
      <c r="E742" s="4" t="s">
        <v>29</v>
      </c>
      <c r="F742" s="4" t="s">
        <v>173</v>
      </c>
      <c r="G742" s="4">
        <v>3.0</v>
      </c>
      <c r="H742" s="6">
        <v>683.43</v>
      </c>
      <c r="I742" s="6">
        <v>2050.29</v>
      </c>
      <c r="J742" s="6">
        <v>1687.36</v>
      </c>
      <c r="K742" s="6">
        <v>362.93</v>
      </c>
      <c r="L742" s="4" t="str">
        <f t="shared" si="1"/>
        <v>Aug-2025</v>
      </c>
    </row>
    <row r="743" ht="15.75" customHeight="1">
      <c r="A743" s="4" t="s">
        <v>1046</v>
      </c>
      <c r="B743" s="5">
        <v>45888.0</v>
      </c>
      <c r="C743" s="4" t="s">
        <v>69</v>
      </c>
      <c r="D743" s="4" t="s">
        <v>19</v>
      </c>
      <c r="E743" s="4" t="s">
        <v>20</v>
      </c>
      <c r="F743" s="4" t="s">
        <v>461</v>
      </c>
      <c r="G743" s="4">
        <v>3.0</v>
      </c>
      <c r="H743" s="6">
        <v>23265.36</v>
      </c>
      <c r="I743" s="6">
        <v>69796.08</v>
      </c>
      <c r="J743" s="6">
        <v>60365.13</v>
      </c>
      <c r="K743" s="6">
        <v>9430.95</v>
      </c>
      <c r="L743" s="4" t="str">
        <f t="shared" si="1"/>
        <v>Aug-2025</v>
      </c>
    </row>
    <row r="744" ht="15.75" customHeight="1">
      <c r="A744" s="4" t="s">
        <v>1047</v>
      </c>
      <c r="B744" s="5">
        <v>45889.0</v>
      </c>
      <c r="C744" s="4" t="s">
        <v>72</v>
      </c>
      <c r="D744" s="4" t="s">
        <v>24</v>
      </c>
      <c r="E744" s="4" t="s">
        <v>29</v>
      </c>
      <c r="F744" s="4" t="s">
        <v>80</v>
      </c>
      <c r="G744" s="4">
        <v>2.0</v>
      </c>
      <c r="H744" s="6">
        <v>17048.8</v>
      </c>
      <c r="I744" s="6">
        <v>34097.6</v>
      </c>
      <c r="J744" s="6">
        <v>29651.82</v>
      </c>
      <c r="K744" s="6">
        <v>4445.78</v>
      </c>
      <c r="L744" s="4" t="str">
        <f t="shared" si="1"/>
        <v>Aug-2025</v>
      </c>
    </row>
    <row r="745" ht="15.75" customHeight="1">
      <c r="A745" s="4" t="s">
        <v>1048</v>
      </c>
      <c r="B745" s="5">
        <v>45889.0</v>
      </c>
      <c r="C745" s="4" t="s">
        <v>23</v>
      </c>
      <c r="D745" s="4" t="s">
        <v>24</v>
      </c>
      <c r="E745" s="4" t="s">
        <v>25</v>
      </c>
      <c r="F745" s="4" t="s">
        <v>945</v>
      </c>
      <c r="G745" s="4">
        <v>5.0</v>
      </c>
      <c r="H745" s="6">
        <v>10332.61</v>
      </c>
      <c r="I745" s="6">
        <v>51663.05</v>
      </c>
      <c r="J745" s="6">
        <v>44352.26</v>
      </c>
      <c r="K745" s="6">
        <v>7310.79</v>
      </c>
      <c r="L745" s="4" t="str">
        <f t="shared" si="1"/>
        <v>Aug-2025</v>
      </c>
    </row>
    <row r="746" ht="15.75" customHeight="1">
      <c r="A746" s="4" t="s">
        <v>1050</v>
      </c>
      <c r="B746" s="5">
        <v>45889.0</v>
      </c>
      <c r="C746" s="4" t="s">
        <v>61</v>
      </c>
      <c r="D746" s="4" t="s">
        <v>19</v>
      </c>
      <c r="E746" s="4" t="s">
        <v>25</v>
      </c>
      <c r="F746" s="4" t="s">
        <v>516</v>
      </c>
      <c r="G746" s="4">
        <v>2.0</v>
      </c>
      <c r="H746" s="6">
        <v>15341.73</v>
      </c>
      <c r="I746" s="6">
        <v>30683.46</v>
      </c>
      <c r="J746" s="6">
        <v>24753.82</v>
      </c>
      <c r="K746" s="6">
        <v>5929.64</v>
      </c>
      <c r="L746" s="4" t="str">
        <f t="shared" si="1"/>
        <v>Aug-2025</v>
      </c>
    </row>
    <row r="747" ht="15.75" customHeight="1">
      <c r="A747" s="4" t="s">
        <v>1052</v>
      </c>
      <c r="B747" s="5">
        <v>45889.0</v>
      </c>
      <c r="C747" s="4" t="s">
        <v>75</v>
      </c>
      <c r="D747" s="4" t="s">
        <v>24</v>
      </c>
      <c r="E747" s="4" t="s">
        <v>25</v>
      </c>
      <c r="F747" s="4" t="s">
        <v>725</v>
      </c>
      <c r="G747" s="4">
        <v>1.0</v>
      </c>
      <c r="H747" s="6">
        <v>12837.08</v>
      </c>
      <c r="I747" s="6">
        <v>12837.08</v>
      </c>
      <c r="J747" s="6">
        <v>10456.2</v>
      </c>
      <c r="K747" s="6">
        <v>2380.88</v>
      </c>
      <c r="L747" s="4" t="str">
        <f t="shared" si="1"/>
        <v>Aug-2025</v>
      </c>
    </row>
    <row r="748" ht="15.75" customHeight="1">
      <c r="A748" s="4" t="s">
        <v>1053</v>
      </c>
      <c r="B748" s="5">
        <v>45890.0</v>
      </c>
      <c r="C748" s="4" t="s">
        <v>32</v>
      </c>
      <c r="D748" s="4" t="s">
        <v>19</v>
      </c>
      <c r="E748" s="4" t="s">
        <v>25</v>
      </c>
      <c r="F748" s="4" t="s">
        <v>332</v>
      </c>
      <c r="G748" s="4">
        <v>3.0</v>
      </c>
      <c r="H748" s="6">
        <v>61428.98</v>
      </c>
      <c r="I748" s="6">
        <v>184286.94</v>
      </c>
      <c r="J748" s="6">
        <v>150503.26</v>
      </c>
      <c r="K748" s="6">
        <v>33783.68</v>
      </c>
      <c r="L748" s="4" t="str">
        <f t="shared" si="1"/>
        <v>Aug-2025</v>
      </c>
    </row>
    <row r="749" ht="15.75" customHeight="1">
      <c r="A749" s="4" t="s">
        <v>1054</v>
      </c>
      <c r="B749" s="5">
        <v>45890.0</v>
      </c>
      <c r="C749" s="4" t="s">
        <v>109</v>
      </c>
      <c r="D749" s="4" t="s">
        <v>42</v>
      </c>
      <c r="E749" s="4" t="s">
        <v>20</v>
      </c>
      <c r="F749" s="4" t="s">
        <v>245</v>
      </c>
      <c r="G749" s="4">
        <v>7.0</v>
      </c>
      <c r="H749" s="6">
        <v>1258.26</v>
      </c>
      <c r="I749" s="6">
        <v>8807.82</v>
      </c>
      <c r="J749" s="6">
        <v>6988.45</v>
      </c>
      <c r="K749" s="6">
        <v>1819.37</v>
      </c>
      <c r="L749" s="4" t="str">
        <f t="shared" si="1"/>
        <v>Aug-2025</v>
      </c>
    </row>
    <row r="750" ht="15.75" customHeight="1">
      <c r="A750" s="4" t="s">
        <v>1055</v>
      </c>
      <c r="B750" s="5">
        <v>45890.0</v>
      </c>
      <c r="C750" s="4" t="s">
        <v>140</v>
      </c>
      <c r="D750" s="4" t="s">
        <v>14</v>
      </c>
      <c r="E750" s="4" t="s">
        <v>29</v>
      </c>
      <c r="F750" s="4" t="s">
        <v>227</v>
      </c>
      <c r="G750" s="4">
        <v>5.0</v>
      </c>
      <c r="H750" s="6">
        <v>1083.9</v>
      </c>
      <c r="I750" s="6">
        <v>5419.5</v>
      </c>
      <c r="J750" s="6">
        <v>4094.27</v>
      </c>
      <c r="K750" s="6">
        <v>1325.23</v>
      </c>
      <c r="L750" s="4" t="str">
        <f t="shared" si="1"/>
        <v>Aug-2025</v>
      </c>
    </row>
    <row r="751" ht="15.75" customHeight="1">
      <c r="A751" s="4" t="s">
        <v>1056</v>
      </c>
      <c r="B751" s="5">
        <v>45890.0</v>
      </c>
      <c r="C751" s="4" t="s">
        <v>35</v>
      </c>
      <c r="D751" s="4" t="s">
        <v>14</v>
      </c>
      <c r="E751" s="4" t="s">
        <v>29</v>
      </c>
      <c r="F751" s="4" t="s">
        <v>643</v>
      </c>
      <c r="G751" s="4">
        <v>7.0</v>
      </c>
      <c r="H751" s="6">
        <v>618.62</v>
      </c>
      <c r="I751" s="6">
        <v>4330.34</v>
      </c>
      <c r="J751" s="6">
        <v>3100.1</v>
      </c>
      <c r="K751" s="6">
        <v>1230.24</v>
      </c>
      <c r="L751" s="4" t="str">
        <f t="shared" si="1"/>
        <v>Aug-2025</v>
      </c>
    </row>
    <row r="752" ht="15.75" customHeight="1">
      <c r="A752" s="4" t="s">
        <v>1057</v>
      </c>
      <c r="B752" s="5">
        <v>45891.0</v>
      </c>
      <c r="C752" s="4" t="s">
        <v>18</v>
      </c>
      <c r="D752" s="4" t="s">
        <v>19</v>
      </c>
      <c r="E752" s="4" t="s">
        <v>20</v>
      </c>
      <c r="F752" s="4" t="s">
        <v>607</v>
      </c>
      <c r="G752" s="4">
        <v>4.0</v>
      </c>
      <c r="H752" s="6">
        <v>49460.08</v>
      </c>
      <c r="I752" s="6">
        <v>197840.32</v>
      </c>
      <c r="J752" s="6">
        <v>170213.34</v>
      </c>
      <c r="K752" s="6">
        <v>27626.98</v>
      </c>
      <c r="L752" s="4" t="str">
        <f t="shared" si="1"/>
        <v>Aug-2025</v>
      </c>
    </row>
    <row r="753" ht="15.75" customHeight="1">
      <c r="A753" s="4" t="s">
        <v>1060</v>
      </c>
      <c r="B753" s="5">
        <v>45891.0</v>
      </c>
      <c r="C753" s="4" t="s">
        <v>41</v>
      </c>
      <c r="D753" s="4" t="s">
        <v>42</v>
      </c>
      <c r="E753" s="4" t="s">
        <v>25</v>
      </c>
      <c r="F753" s="4" t="s">
        <v>822</v>
      </c>
      <c r="G753" s="4">
        <v>3.0</v>
      </c>
      <c r="H753" s="6">
        <v>536.02</v>
      </c>
      <c r="I753" s="6">
        <v>1608.06</v>
      </c>
      <c r="J753" s="6">
        <v>1356.93</v>
      </c>
      <c r="K753" s="6">
        <v>251.13</v>
      </c>
      <c r="L753" s="4" t="str">
        <f t="shared" si="1"/>
        <v>Aug-2025</v>
      </c>
    </row>
    <row r="754" ht="15.75" customHeight="1">
      <c r="A754" s="4" t="s">
        <v>1063</v>
      </c>
      <c r="B754" s="5">
        <v>45891.0</v>
      </c>
      <c r="C754" s="4" t="s">
        <v>23</v>
      </c>
      <c r="D754" s="4" t="s">
        <v>24</v>
      </c>
      <c r="E754" s="4" t="s">
        <v>25</v>
      </c>
      <c r="F754" s="4" t="s">
        <v>546</v>
      </c>
      <c r="G754" s="4">
        <v>3.0</v>
      </c>
      <c r="H754" s="6">
        <v>6520.78</v>
      </c>
      <c r="I754" s="6">
        <v>19562.34</v>
      </c>
      <c r="J754" s="6">
        <v>15792.53</v>
      </c>
      <c r="K754" s="6">
        <v>3769.81</v>
      </c>
      <c r="L754" s="4" t="str">
        <f t="shared" si="1"/>
        <v>Aug-2025</v>
      </c>
    </row>
    <row r="755" ht="15.75" customHeight="1">
      <c r="A755" s="4" t="s">
        <v>1066</v>
      </c>
      <c r="B755" s="5">
        <v>45891.0</v>
      </c>
      <c r="C755" s="4" t="s">
        <v>180</v>
      </c>
      <c r="D755" s="4" t="s">
        <v>19</v>
      </c>
      <c r="E755" s="4" t="s">
        <v>25</v>
      </c>
      <c r="F755" s="4" t="s">
        <v>399</v>
      </c>
      <c r="G755" s="4">
        <v>4.0</v>
      </c>
      <c r="H755" s="6">
        <v>29087.26</v>
      </c>
      <c r="I755" s="6">
        <v>116349.04</v>
      </c>
      <c r="J755" s="6">
        <v>93208.9</v>
      </c>
      <c r="K755" s="6">
        <v>23140.14</v>
      </c>
      <c r="L755" s="4" t="str">
        <f t="shared" si="1"/>
        <v>Aug-2025</v>
      </c>
    </row>
    <row r="756" ht="15.75" customHeight="1">
      <c r="A756" s="4" t="s">
        <v>1067</v>
      </c>
      <c r="B756" s="5">
        <v>45892.0</v>
      </c>
      <c r="C756" s="4" t="s">
        <v>32</v>
      </c>
      <c r="D756" s="4" t="s">
        <v>19</v>
      </c>
      <c r="E756" s="4" t="s">
        <v>29</v>
      </c>
      <c r="F756" s="4" t="s">
        <v>771</v>
      </c>
      <c r="G756" s="4">
        <v>2.0</v>
      </c>
      <c r="H756" s="6">
        <v>61330.09</v>
      </c>
      <c r="I756" s="6">
        <v>122660.18</v>
      </c>
      <c r="J756" s="6">
        <v>105977.49</v>
      </c>
      <c r="K756" s="6">
        <v>16682.69</v>
      </c>
      <c r="L756" s="4" t="str">
        <f t="shared" si="1"/>
        <v>Aug-2025</v>
      </c>
    </row>
    <row r="757" ht="15.75" customHeight="1">
      <c r="A757" s="4" t="s">
        <v>1068</v>
      </c>
      <c r="B757" s="5">
        <v>45892.0</v>
      </c>
      <c r="C757" s="4" t="s">
        <v>23</v>
      </c>
      <c r="D757" s="4" t="s">
        <v>24</v>
      </c>
      <c r="E757" s="4" t="s">
        <v>20</v>
      </c>
      <c r="F757" s="4" t="s">
        <v>668</v>
      </c>
      <c r="G757" s="4">
        <v>4.0</v>
      </c>
      <c r="H757" s="6">
        <v>9275.45</v>
      </c>
      <c r="I757" s="6">
        <v>37101.8</v>
      </c>
      <c r="J757" s="6">
        <v>32227.04</v>
      </c>
      <c r="K757" s="6">
        <v>4874.76</v>
      </c>
      <c r="L757" s="4" t="str">
        <f t="shared" si="1"/>
        <v>Aug-2025</v>
      </c>
    </row>
    <row r="758" ht="15.75" customHeight="1">
      <c r="A758" s="4" t="s">
        <v>1069</v>
      </c>
      <c r="B758" s="5">
        <v>45892.0</v>
      </c>
      <c r="C758" s="4" t="s">
        <v>140</v>
      </c>
      <c r="D758" s="4" t="s">
        <v>14</v>
      </c>
      <c r="E758" s="4" t="s">
        <v>15</v>
      </c>
      <c r="F758" s="4" t="s">
        <v>334</v>
      </c>
      <c r="G758" s="4">
        <v>6.0</v>
      </c>
      <c r="H758" s="6">
        <v>989.36</v>
      </c>
      <c r="I758" s="6">
        <v>5936.16</v>
      </c>
      <c r="J758" s="6">
        <v>4965.42</v>
      </c>
      <c r="K758" s="6">
        <v>970.74</v>
      </c>
      <c r="L758" s="4" t="str">
        <f t="shared" si="1"/>
        <v>Aug-2025</v>
      </c>
    </row>
    <row r="759" ht="15.75" customHeight="1">
      <c r="A759" s="4" t="s">
        <v>1070</v>
      </c>
      <c r="B759" s="5">
        <v>45892.0</v>
      </c>
      <c r="C759" s="4" t="s">
        <v>13</v>
      </c>
      <c r="D759" s="4" t="s">
        <v>14</v>
      </c>
      <c r="E759" s="4" t="s">
        <v>25</v>
      </c>
      <c r="F759" s="4" t="s">
        <v>189</v>
      </c>
      <c r="G759" s="4">
        <v>2.0</v>
      </c>
      <c r="H759" s="6">
        <v>1351.47</v>
      </c>
      <c r="I759" s="6">
        <v>2702.94</v>
      </c>
      <c r="J759" s="6">
        <v>2251.56</v>
      </c>
      <c r="K759" s="6">
        <v>451.38</v>
      </c>
      <c r="L759" s="4" t="str">
        <f t="shared" si="1"/>
        <v>Aug-2025</v>
      </c>
    </row>
    <row r="760" ht="15.75" customHeight="1">
      <c r="A760" s="4" t="s">
        <v>1071</v>
      </c>
      <c r="B760" s="5">
        <v>45892.0</v>
      </c>
      <c r="C760" s="4" t="s">
        <v>13</v>
      </c>
      <c r="D760" s="4" t="s">
        <v>14</v>
      </c>
      <c r="E760" s="4" t="s">
        <v>15</v>
      </c>
      <c r="F760" s="4" t="s">
        <v>268</v>
      </c>
      <c r="G760" s="4">
        <v>5.0</v>
      </c>
      <c r="H760" s="6">
        <v>958.86</v>
      </c>
      <c r="I760" s="6">
        <v>4794.3</v>
      </c>
      <c r="J760" s="6">
        <v>3683.79</v>
      </c>
      <c r="K760" s="6">
        <v>1110.51</v>
      </c>
      <c r="L760" s="4" t="str">
        <f t="shared" si="1"/>
        <v>Aug-2025</v>
      </c>
    </row>
    <row r="761" ht="15.75" customHeight="1">
      <c r="A761" s="4" t="s">
        <v>1072</v>
      </c>
      <c r="B761" s="5">
        <v>45892.0</v>
      </c>
      <c r="C761" s="4" t="s">
        <v>72</v>
      </c>
      <c r="D761" s="4" t="s">
        <v>24</v>
      </c>
      <c r="E761" s="4" t="s">
        <v>29</v>
      </c>
      <c r="F761" s="4" t="s">
        <v>70</v>
      </c>
      <c r="G761" s="4">
        <v>1.0</v>
      </c>
      <c r="H761" s="6">
        <v>17725.26</v>
      </c>
      <c r="I761" s="6">
        <v>17725.26</v>
      </c>
      <c r="J761" s="6">
        <v>13402.42</v>
      </c>
      <c r="K761" s="6">
        <v>4322.84</v>
      </c>
      <c r="L761" s="4" t="str">
        <f t="shared" si="1"/>
        <v>Aug-2025</v>
      </c>
    </row>
    <row r="762" ht="15.75" customHeight="1">
      <c r="A762" s="4" t="s">
        <v>1073</v>
      </c>
      <c r="B762" s="5">
        <v>45893.0</v>
      </c>
      <c r="C762" s="4" t="s">
        <v>75</v>
      </c>
      <c r="D762" s="4" t="s">
        <v>24</v>
      </c>
      <c r="E762" s="4" t="s">
        <v>25</v>
      </c>
      <c r="F762" s="4" t="s">
        <v>62</v>
      </c>
      <c r="G762" s="4">
        <v>1.0</v>
      </c>
      <c r="H762" s="6">
        <v>4169.08</v>
      </c>
      <c r="I762" s="6">
        <v>4169.08</v>
      </c>
      <c r="J762" s="6">
        <v>3625.96</v>
      </c>
      <c r="K762" s="6">
        <v>543.12</v>
      </c>
      <c r="L762" s="4" t="str">
        <f t="shared" si="1"/>
        <v>Aug-2025</v>
      </c>
    </row>
    <row r="763" ht="15.75" customHeight="1">
      <c r="A763" s="4" t="s">
        <v>1074</v>
      </c>
      <c r="B763" s="5">
        <v>45893.0</v>
      </c>
      <c r="C763" s="4" t="s">
        <v>75</v>
      </c>
      <c r="D763" s="4" t="s">
        <v>24</v>
      </c>
      <c r="E763" s="4" t="s">
        <v>25</v>
      </c>
      <c r="F763" s="4" t="s">
        <v>735</v>
      </c>
      <c r="G763" s="4">
        <v>2.0</v>
      </c>
      <c r="H763" s="6">
        <v>1358.89</v>
      </c>
      <c r="I763" s="6">
        <v>2717.78</v>
      </c>
      <c r="J763" s="6">
        <v>2088.04</v>
      </c>
      <c r="K763" s="6">
        <v>629.74</v>
      </c>
      <c r="L763" s="4" t="str">
        <f t="shared" si="1"/>
        <v>Aug-2025</v>
      </c>
    </row>
    <row r="764" ht="15.75" customHeight="1">
      <c r="A764" s="4" t="s">
        <v>1075</v>
      </c>
      <c r="B764" s="5">
        <v>45893.0</v>
      </c>
      <c r="C764" s="4" t="s">
        <v>18</v>
      </c>
      <c r="D764" s="4" t="s">
        <v>19</v>
      </c>
      <c r="E764" s="4" t="s">
        <v>20</v>
      </c>
      <c r="F764" s="4" t="s">
        <v>141</v>
      </c>
      <c r="G764" s="4">
        <v>4.0</v>
      </c>
      <c r="H764" s="6">
        <v>32614.31</v>
      </c>
      <c r="I764" s="6">
        <v>130457.24</v>
      </c>
      <c r="J764" s="6">
        <v>119178.71</v>
      </c>
      <c r="K764" s="6">
        <v>11278.53</v>
      </c>
      <c r="L764" s="4" t="str">
        <f t="shared" si="1"/>
        <v>Aug-2025</v>
      </c>
    </row>
    <row r="765" ht="15.75" customHeight="1">
      <c r="A765" s="4" t="s">
        <v>1076</v>
      </c>
      <c r="B765" s="5">
        <v>45893.0</v>
      </c>
      <c r="C765" s="4" t="s">
        <v>47</v>
      </c>
      <c r="D765" s="4" t="s">
        <v>14</v>
      </c>
      <c r="E765" s="4" t="s">
        <v>15</v>
      </c>
      <c r="F765" s="4" t="s">
        <v>233</v>
      </c>
      <c r="G765" s="4">
        <v>5.0</v>
      </c>
      <c r="H765" s="6">
        <v>865.85</v>
      </c>
      <c r="I765" s="6">
        <v>4329.25</v>
      </c>
      <c r="J765" s="6">
        <v>3527.14</v>
      </c>
      <c r="K765" s="6">
        <v>802.11</v>
      </c>
      <c r="L765" s="4" t="str">
        <f t="shared" si="1"/>
        <v>Aug-2025</v>
      </c>
    </row>
    <row r="766" ht="15.75" customHeight="1">
      <c r="A766" s="4" t="s">
        <v>1077</v>
      </c>
      <c r="B766" s="5">
        <v>45894.0</v>
      </c>
      <c r="C766" s="4" t="s">
        <v>66</v>
      </c>
      <c r="D766" s="4" t="s">
        <v>42</v>
      </c>
      <c r="E766" s="4" t="s">
        <v>25</v>
      </c>
      <c r="F766" s="4" t="s">
        <v>274</v>
      </c>
      <c r="G766" s="4">
        <v>4.0</v>
      </c>
      <c r="H766" s="6">
        <v>2991.79</v>
      </c>
      <c r="I766" s="6">
        <v>11967.16</v>
      </c>
      <c r="J766" s="6">
        <v>9408.38</v>
      </c>
      <c r="K766" s="6">
        <v>2558.78</v>
      </c>
      <c r="L766" s="4" t="str">
        <f t="shared" si="1"/>
        <v>Aug-2025</v>
      </c>
    </row>
    <row r="767" ht="15.75" customHeight="1">
      <c r="A767" s="4" t="s">
        <v>1078</v>
      </c>
      <c r="B767" s="5">
        <v>45894.0</v>
      </c>
      <c r="C767" s="4" t="s">
        <v>23</v>
      </c>
      <c r="D767" s="4" t="s">
        <v>24</v>
      </c>
      <c r="E767" s="4" t="s">
        <v>25</v>
      </c>
      <c r="F767" s="4" t="s">
        <v>241</v>
      </c>
      <c r="G767" s="4">
        <v>7.0</v>
      </c>
      <c r="H767" s="6">
        <v>4317.38</v>
      </c>
      <c r="I767" s="6">
        <v>30221.66</v>
      </c>
      <c r="J767" s="6">
        <v>25610.87</v>
      </c>
      <c r="K767" s="6">
        <v>4610.79</v>
      </c>
      <c r="L767" s="4" t="str">
        <f t="shared" si="1"/>
        <v>Aug-2025</v>
      </c>
    </row>
    <row r="768" ht="15.75" customHeight="1">
      <c r="A768" s="4" t="s">
        <v>1079</v>
      </c>
      <c r="B768" s="5">
        <v>45894.0</v>
      </c>
      <c r="C768" s="4" t="s">
        <v>140</v>
      </c>
      <c r="D768" s="4" t="s">
        <v>14</v>
      </c>
      <c r="E768" s="4" t="s">
        <v>25</v>
      </c>
      <c r="F768" s="4" t="s">
        <v>661</v>
      </c>
      <c r="G768" s="4">
        <v>7.0</v>
      </c>
      <c r="H768" s="6">
        <v>232.3</v>
      </c>
      <c r="I768" s="6">
        <v>1626.1</v>
      </c>
      <c r="J768" s="6">
        <v>1367.76</v>
      </c>
      <c r="K768" s="6">
        <v>258.34</v>
      </c>
      <c r="L768" s="4" t="str">
        <f t="shared" si="1"/>
        <v>Aug-2025</v>
      </c>
    </row>
    <row r="769" ht="15.75" customHeight="1">
      <c r="A769" s="4" t="s">
        <v>1080</v>
      </c>
      <c r="B769" s="5">
        <v>45894.0</v>
      </c>
      <c r="C769" s="4" t="s">
        <v>35</v>
      </c>
      <c r="D769" s="4" t="s">
        <v>14</v>
      </c>
      <c r="E769" s="4" t="s">
        <v>15</v>
      </c>
      <c r="F769" s="4" t="s">
        <v>510</v>
      </c>
      <c r="G769" s="4">
        <v>7.0</v>
      </c>
      <c r="H769" s="6">
        <v>1148.06</v>
      </c>
      <c r="I769" s="6">
        <v>8036.42</v>
      </c>
      <c r="J769" s="6">
        <v>6293.9</v>
      </c>
      <c r="K769" s="6">
        <v>1742.52</v>
      </c>
      <c r="L769" s="4" t="str">
        <f t="shared" si="1"/>
        <v>Aug-2025</v>
      </c>
    </row>
    <row r="770" ht="15.75" customHeight="1">
      <c r="A770" s="4" t="s">
        <v>1081</v>
      </c>
      <c r="B770" s="5">
        <v>45894.0</v>
      </c>
      <c r="C770" s="4" t="s">
        <v>66</v>
      </c>
      <c r="D770" s="4" t="s">
        <v>42</v>
      </c>
      <c r="E770" s="4" t="s">
        <v>25</v>
      </c>
      <c r="F770" s="4" t="s">
        <v>293</v>
      </c>
      <c r="G770" s="4">
        <v>4.0</v>
      </c>
      <c r="H770" s="6">
        <v>393.37</v>
      </c>
      <c r="I770" s="6">
        <v>1573.48</v>
      </c>
      <c r="J770" s="6">
        <v>1195.23</v>
      </c>
      <c r="K770" s="6">
        <v>378.25</v>
      </c>
      <c r="L770" s="4" t="str">
        <f t="shared" si="1"/>
        <v>Aug-2025</v>
      </c>
    </row>
    <row r="771" ht="15.75" customHeight="1">
      <c r="A771" s="4" t="s">
        <v>1082</v>
      </c>
      <c r="B771" s="5">
        <v>45894.0</v>
      </c>
      <c r="C771" s="4" t="s">
        <v>18</v>
      </c>
      <c r="D771" s="4" t="s">
        <v>19</v>
      </c>
      <c r="E771" s="4" t="s">
        <v>29</v>
      </c>
      <c r="F771" s="4" t="s">
        <v>628</v>
      </c>
      <c r="G771" s="4">
        <v>6.0</v>
      </c>
      <c r="H771" s="6">
        <v>51502.82</v>
      </c>
      <c r="I771" s="6">
        <v>309016.92</v>
      </c>
      <c r="J771" s="6">
        <v>277488.64</v>
      </c>
      <c r="K771" s="6">
        <v>31528.28</v>
      </c>
      <c r="L771" s="4" t="str">
        <f t="shared" si="1"/>
        <v>Aug-2025</v>
      </c>
    </row>
    <row r="772" ht="15.75" customHeight="1">
      <c r="A772" s="4" t="s">
        <v>1083</v>
      </c>
      <c r="B772" s="5">
        <v>45895.0</v>
      </c>
      <c r="C772" s="4" t="s">
        <v>23</v>
      </c>
      <c r="D772" s="4" t="s">
        <v>24</v>
      </c>
      <c r="E772" s="4" t="s">
        <v>20</v>
      </c>
      <c r="F772" s="4" t="s">
        <v>626</v>
      </c>
      <c r="G772" s="4">
        <v>4.0</v>
      </c>
      <c r="H772" s="6">
        <v>2765.29</v>
      </c>
      <c r="I772" s="6">
        <v>11061.16</v>
      </c>
      <c r="J772" s="6">
        <v>8290.13</v>
      </c>
      <c r="K772" s="6">
        <v>2771.03</v>
      </c>
      <c r="L772" s="4" t="str">
        <f t="shared" si="1"/>
        <v>Aug-2025</v>
      </c>
    </row>
    <row r="773" ht="15.75" customHeight="1">
      <c r="A773" s="4" t="s">
        <v>1084</v>
      </c>
      <c r="B773" s="5">
        <v>45896.0</v>
      </c>
      <c r="C773" s="4" t="s">
        <v>61</v>
      </c>
      <c r="D773" s="4" t="s">
        <v>19</v>
      </c>
      <c r="E773" s="4" t="s">
        <v>25</v>
      </c>
      <c r="F773" s="4" t="s">
        <v>207</v>
      </c>
      <c r="G773" s="4">
        <v>7.0</v>
      </c>
      <c r="H773" s="6">
        <v>67985.78</v>
      </c>
      <c r="I773" s="6">
        <v>475900.46</v>
      </c>
      <c r="J773" s="6">
        <v>392394.38</v>
      </c>
      <c r="K773" s="6">
        <v>83506.08</v>
      </c>
      <c r="L773" s="4" t="str">
        <f t="shared" si="1"/>
        <v>Aug-2025</v>
      </c>
    </row>
    <row r="774" ht="15.75" customHeight="1">
      <c r="A774" s="4" t="s">
        <v>1085</v>
      </c>
      <c r="B774" s="5">
        <v>45897.0</v>
      </c>
      <c r="C774" s="4" t="s">
        <v>28</v>
      </c>
      <c r="D774" s="4" t="s">
        <v>14</v>
      </c>
      <c r="E774" s="4" t="s">
        <v>20</v>
      </c>
      <c r="F774" s="4" t="s">
        <v>293</v>
      </c>
      <c r="G774" s="4">
        <v>7.0</v>
      </c>
      <c r="H774" s="6">
        <v>644.36</v>
      </c>
      <c r="I774" s="6">
        <v>4510.52</v>
      </c>
      <c r="J774" s="6">
        <v>3395.44</v>
      </c>
      <c r="K774" s="6">
        <v>1115.08</v>
      </c>
      <c r="L774" s="4" t="str">
        <f t="shared" si="1"/>
        <v>Aug-2025</v>
      </c>
    </row>
    <row r="775" ht="15.75" customHeight="1">
      <c r="A775" s="4" t="s">
        <v>1086</v>
      </c>
      <c r="B775" s="5">
        <v>45897.0</v>
      </c>
      <c r="C775" s="4" t="s">
        <v>32</v>
      </c>
      <c r="D775" s="4" t="s">
        <v>19</v>
      </c>
      <c r="E775" s="4" t="s">
        <v>20</v>
      </c>
      <c r="F775" s="4" t="s">
        <v>57</v>
      </c>
      <c r="G775" s="4">
        <v>6.0</v>
      </c>
      <c r="H775" s="6">
        <v>52638.76</v>
      </c>
      <c r="I775" s="6">
        <v>315832.56</v>
      </c>
      <c r="J775" s="6">
        <v>263886.85</v>
      </c>
      <c r="K775" s="6">
        <v>51945.71</v>
      </c>
      <c r="L775" s="4" t="str">
        <f t="shared" si="1"/>
        <v>Aug-2025</v>
      </c>
    </row>
    <row r="776" ht="15.75" customHeight="1">
      <c r="A776" s="4" t="s">
        <v>1087</v>
      </c>
      <c r="B776" s="5">
        <v>45897.0</v>
      </c>
      <c r="C776" s="4" t="s">
        <v>38</v>
      </c>
      <c r="D776" s="4" t="s">
        <v>19</v>
      </c>
      <c r="E776" s="4" t="s">
        <v>20</v>
      </c>
      <c r="F776" s="4" t="s">
        <v>481</v>
      </c>
      <c r="G776" s="4">
        <v>4.0</v>
      </c>
      <c r="H776" s="6">
        <v>35982.99</v>
      </c>
      <c r="I776" s="6">
        <v>143931.96</v>
      </c>
      <c r="J776" s="6">
        <v>131265.48</v>
      </c>
      <c r="K776" s="6">
        <v>12666.48</v>
      </c>
      <c r="L776" s="4" t="str">
        <f t="shared" si="1"/>
        <v>Aug-2025</v>
      </c>
    </row>
    <row r="777" ht="15.75" customHeight="1">
      <c r="A777" s="4" t="s">
        <v>1088</v>
      </c>
      <c r="B777" s="5">
        <v>45897.0</v>
      </c>
      <c r="C777" s="4" t="s">
        <v>109</v>
      </c>
      <c r="D777" s="4" t="s">
        <v>42</v>
      </c>
      <c r="E777" s="4" t="s">
        <v>29</v>
      </c>
      <c r="F777" s="4" t="s">
        <v>422</v>
      </c>
      <c r="G777" s="4">
        <v>3.0</v>
      </c>
      <c r="H777" s="6">
        <v>4771.84</v>
      </c>
      <c r="I777" s="6">
        <v>14315.52</v>
      </c>
      <c r="J777" s="6">
        <v>11429.9</v>
      </c>
      <c r="K777" s="6">
        <v>2885.62</v>
      </c>
      <c r="L777" s="4" t="str">
        <f t="shared" si="1"/>
        <v>Aug-2025</v>
      </c>
    </row>
    <row r="778" ht="15.75" customHeight="1">
      <c r="A778" s="4" t="s">
        <v>1089</v>
      </c>
      <c r="B778" s="5">
        <v>45897.0</v>
      </c>
      <c r="C778" s="4" t="s">
        <v>180</v>
      </c>
      <c r="D778" s="4" t="s">
        <v>19</v>
      </c>
      <c r="E778" s="4" t="s">
        <v>25</v>
      </c>
      <c r="F778" s="4" t="s">
        <v>444</v>
      </c>
      <c r="G778" s="4">
        <v>2.0</v>
      </c>
      <c r="H778" s="6">
        <v>71665.49</v>
      </c>
      <c r="I778" s="6">
        <v>143330.98</v>
      </c>
      <c r="J778" s="6">
        <v>117740.12</v>
      </c>
      <c r="K778" s="6">
        <v>25590.86</v>
      </c>
      <c r="L778" s="4" t="str">
        <f t="shared" si="1"/>
        <v>Aug-2025</v>
      </c>
    </row>
    <row r="779" ht="15.75" customHeight="1">
      <c r="A779" s="4" t="s">
        <v>1090</v>
      </c>
      <c r="B779" s="5">
        <v>45898.0</v>
      </c>
      <c r="C779" s="4" t="s">
        <v>28</v>
      </c>
      <c r="D779" s="4" t="s">
        <v>14</v>
      </c>
      <c r="E779" s="4" t="s">
        <v>20</v>
      </c>
      <c r="F779" s="4" t="s">
        <v>673</v>
      </c>
      <c r="G779" s="4">
        <v>3.0</v>
      </c>
      <c r="H779" s="6">
        <v>1435.68</v>
      </c>
      <c r="I779" s="6">
        <v>4307.04</v>
      </c>
      <c r="J779" s="6">
        <v>3104.07</v>
      </c>
      <c r="K779" s="6">
        <v>1202.97</v>
      </c>
      <c r="L779" s="4" t="str">
        <f t="shared" si="1"/>
        <v>Aug-2025</v>
      </c>
    </row>
    <row r="780" ht="15.75" customHeight="1">
      <c r="A780" s="4" t="s">
        <v>1091</v>
      </c>
      <c r="B780" s="5">
        <v>45898.0</v>
      </c>
      <c r="C780" s="4" t="s">
        <v>102</v>
      </c>
      <c r="D780" s="4" t="s">
        <v>24</v>
      </c>
      <c r="E780" s="4" t="s">
        <v>20</v>
      </c>
      <c r="F780" s="4" t="s">
        <v>223</v>
      </c>
      <c r="G780" s="4">
        <v>2.0</v>
      </c>
      <c r="H780" s="6">
        <v>9613.79</v>
      </c>
      <c r="I780" s="6">
        <v>19227.58</v>
      </c>
      <c r="J780" s="6">
        <v>13855.13</v>
      </c>
      <c r="K780" s="6">
        <v>5372.45</v>
      </c>
      <c r="L780" s="4" t="str">
        <f t="shared" si="1"/>
        <v>Aug-2025</v>
      </c>
    </row>
    <row r="781" ht="15.75" customHeight="1">
      <c r="A781" s="4" t="s">
        <v>1092</v>
      </c>
      <c r="B781" s="5">
        <v>45898.0</v>
      </c>
      <c r="C781" s="4" t="s">
        <v>38</v>
      </c>
      <c r="D781" s="4" t="s">
        <v>19</v>
      </c>
      <c r="E781" s="4" t="s">
        <v>20</v>
      </c>
      <c r="F781" s="4" t="s">
        <v>291</v>
      </c>
      <c r="G781" s="4">
        <v>3.0</v>
      </c>
      <c r="H781" s="6">
        <v>12637.86</v>
      </c>
      <c r="I781" s="6">
        <v>37913.58</v>
      </c>
      <c r="J781" s="6">
        <v>30851.53</v>
      </c>
      <c r="K781" s="6">
        <v>7062.05</v>
      </c>
      <c r="L781" s="4" t="str">
        <f t="shared" si="1"/>
        <v>Aug-2025</v>
      </c>
    </row>
    <row r="782" ht="15.75" customHeight="1">
      <c r="A782" s="4" t="s">
        <v>1093</v>
      </c>
      <c r="B782" s="5">
        <v>45899.0</v>
      </c>
      <c r="C782" s="4" t="s">
        <v>13</v>
      </c>
      <c r="D782" s="4" t="s">
        <v>14</v>
      </c>
      <c r="E782" s="4" t="s">
        <v>20</v>
      </c>
      <c r="F782" s="4" t="s">
        <v>30</v>
      </c>
      <c r="G782" s="4">
        <v>5.0</v>
      </c>
      <c r="H782" s="6">
        <v>77.69</v>
      </c>
      <c r="I782" s="6">
        <v>388.45</v>
      </c>
      <c r="J782" s="6">
        <v>320.39</v>
      </c>
      <c r="K782" s="6">
        <v>68.06</v>
      </c>
      <c r="L782" s="4" t="str">
        <f t="shared" si="1"/>
        <v>Aug-2025</v>
      </c>
    </row>
    <row r="783" ht="15.75" customHeight="1">
      <c r="A783" s="4" t="s">
        <v>1094</v>
      </c>
      <c r="B783" s="5">
        <v>45899.0</v>
      </c>
      <c r="C783" s="4" t="s">
        <v>13</v>
      </c>
      <c r="D783" s="4" t="s">
        <v>14</v>
      </c>
      <c r="E783" s="4" t="s">
        <v>15</v>
      </c>
      <c r="F783" s="4" t="s">
        <v>256</v>
      </c>
      <c r="G783" s="4">
        <v>5.0</v>
      </c>
      <c r="H783" s="6">
        <v>669.88</v>
      </c>
      <c r="I783" s="6">
        <v>3349.4</v>
      </c>
      <c r="J783" s="6">
        <v>2371.01</v>
      </c>
      <c r="K783" s="6">
        <v>978.39</v>
      </c>
      <c r="L783" s="4" t="str">
        <f t="shared" si="1"/>
        <v>Aug-2025</v>
      </c>
    </row>
    <row r="784" ht="15.75" customHeight="1">
      <c r="A784" s="4" t="s">
        <v>1095</v>
      </c>
      <c r="B784" s="5">
        <v>45899.0</v>
      </c>
      <c r="C784" s="4" t="s">
        <v>23</v>
      </c>
      <c r="D784" s="4" t="s">
        <v>24</v>
      </c>
      <c r="E784" s="4" t="s">
        <v>15</v>
      </c>
      <c r="F784" s="4" t="s">
        <v>741</v>
      </c>
      <c r="G784" s="4">
        <v>1.0</v>
      </c>
      <c r="H784" s="6">
        <v>12044.0</v>
      </c>
      <c r="I784" s="6">
        <v>12044.0</v>
      </c>
      <c r="J784" s="6">
        <v>9285.22</v>
      </c>
      <c r="K784" s="6">
        <v>2758.78</v>
      </c>
      <c r="L784" s="4" t="str">
        <f t="shared" si="1"/>
        <v>Aug-2025</v>
      </c>
    </row>
    <row r="785" ht="15.75" customHeight="1">
      <c r="A785" s="4" t="s">
        <v>1096</v>
      </c>
      <c r="B785" s="5">
        <v>45899.0</v>
      </c>
      <c r="C785" s="4" t="s">
        <v>18</v>
      </c>
      <c r="D785" s="4" t="s">
        <v>19</v>
      </c>
      <c r="E785" s="4" t="s">
        <v>20</v>
      </c>
      <c r="F785" s="4" t="s">
        <v>315</v>
      </c>
      <c r="G785" s="4">
        <v>4.0</v>
      </c>
      <c r="H785" s="6">
        <v>58762.85</v>
      </c>
      <c r="I785" s="6">
        <v>235051.4</v>
      </c>
      <c r="J785" s="6">
        <v>192973.47</v>
      </c>
      <c r="K785" s="6">
        <v>42077.93</v>
      </c>
      <c r="L785" s="4" t="str">
        <f t="shared" si="1"/>
        <v>Aug-2025</v>
      </c>
    </row>
    <row r="786" ht="15.75" customHeight="1">
      <c r="A786" s="4" t="s">
        <v>1097</v>
      </c>
      <c r="B786" s="5">
        <v>45899.0</v>
      </c>
      <c r="C786" s="4" t="s">
        <v>180</v>
      </c>
      <c r="D786" s="4" t="s">
        <v>19</v>
      </c>
      <c r="E786" s="4" t="s">
        <v>29</v>
      </c>
      <c r="F786" s="4" t="s">
        <v>288</v>
      </c>
      <c r="G786" s="4">
        <v>3.0</v>
      </c>
      <c r="H786" s="6">
        <v>2089.58</v>
      </c>
      <c r="I786" s="6">
        <v>6268.74</v>
      </c>
      <c r="J786" s="6">
        <v>5524.17</v>
      </c>
      <c r="K786" s="6">
        <v>744.57</v>
      </c>
      <c r="L786" s="4" t="str">
        <f t="shared" si="1"/>
        <v>Aug-2025</v>
      </c>
    </row>
    <row r="787" ht="15.75" customHeight="1">
      <c r="A787" s="4" t="s">
        <v>1098</v>
      </c>
      <c r="B787" s="5">
        <v>45900.0</v>
      </c>
      <c r="C787" s="4" t="s">
        <v>41</v>
      </c>
      <c r="D787" s="4" t="s">
        <v>42</v>
      </c>
      <c r="E787" s="4" t="s">
        <v>25</v>
      </c>
      <c r="F787" s="4" t="s">
        <v>59</v>
      </c>
      <c r="G787" s="4">
        <v>7.0</v>
      </c>
      <c r="H787" s="6">
        <v>3480.46</v>
      </c>
      <c r="I787" s="6">
        <v>24363.22</v>
      </c>
      <c r="J787" s="6">
        <v>20289.79</v>
      </c>
      <c r="K787" s="6">
        <v>4073.43</v>
      </c>
      <c r="L787" s="4" t="str">
        <f t="shared" si="1"/>
        <v>Aug-2025</v>
      </c>
    </row>
    <row r="788" ht="15.75" customHeight="1">
      <c r="A788" s="4" t="s">
        <v>1099</v>
      </c>
      <c r="B788" s="5">
        <v>45900.0</v>
      </c>
      <c r="C788" s="4" t="s">
        <v>28</v>
      </c>
      <c r="D788" s="4" t="s">
        <v>14</v>
      </c>
      <c r="E788" s="4" t="s">
        <v>25</v>
      </c>
      <c r="F788" s="4" t="s">
        <v>207</v>
      </c>
      <c r="G788" s="4">
        <v>6.0</v>
      </c>
      <c r="H788" s="6">
        <v>184.13</v>
      </c>
      <c r="I788" s="6">
        <v>1104.78</v>
      </c>
      <c r="J788" s="6">
        <v>794.92</v>
      </c>
      <c r="K788" s="6">
        <v>309.86</v>
      </c>
      <c r="L788" s="4" t="str">
        <f t="shared" si="1"/>
        <v>Aug-2025</v>
      </c>
    </row>
    <row r="789" ht="15.75" customHeight="1">
      <c r="A789" s="4" t="s">
        <v>1100</v>
      </c>
      <c r="B789" s="5">
        <v>45900.0</v>
      </c>
      <c r="C789" s="4" t="s">
        <v>180</v>
      </c>
      <c r="D789" s="4" t="s">
        <v>19</v>
      </c>
      <c r="E789" s="4" t="s">
        <v>20</v>
      </c>
      <c r="F789" s="4" t="s">
        <v>356</v>
      </c>
      <c r="G789" s="4">
        <v>7.0</v>
      </c>
      <c r="H789" s="6">
        <v>35687.55</v>
      </c>
      <c r="I789" s="6">
        <v>249812.85</v>
      </c>
      <c r="J789" s="6">
        <v>207516.17</v>
      </c>
      <c r="K789" s="6">
        <v>42296.68</v>
      </c>
      <c r="L789" s="4" t="str">
        <f t="shared" si="1"/>
        <v>Aug-2025</v>
      </c>
    </row>
    <row r="790" ht="15.75" customHeight="1">
      <c r="A790" s="4" t="s">
        <v>1101</v>
      </c>
      <c r="B790" s="5">
        <v>45901.0</v>
      </c>
      <c r="C790" s="4" t="s">
        <v>13</v>
      </c>
      <c r="D790" s="4" t="s">
        <v>14</v>
      </c>
      <c r="E790" s="4" t="s">
        <v>15</v>
      </c>
      <c r="F790" s="4" t="s">
        <v>399</v>
      </c>
      <c r="G790" s="4">
        <v>4.0</v>
      </c>
      <c r="H790" s="6">
        <v>572.54</v>
      </c>
      <c r="I790" s="6">
        <v>2290.16</v>
      </c>
      <c r="J790" s="6">
        <v>1610.46</v>
      </c>
      <c r="K790" s="6">
        <v>679.7</v>
      </c>
      <c r="L790" s="4" t="str">
        <f t="shared" si="1"/>
        <v>Sep-2025</v>
      </c>
    </row>
    <row r="791" ht="15.75" customHeight="1">
      <c r="A791" s="4" t="s">
        <v>1102</v>
      </c>
      <c r="B791" s="5">
        <v>45902.0</v>
      </c>
      <c r="C791" s="4" t="s">
        <v>23</v>
      </c>
      <c r="D791" s="4" t="s">
        <v>24</v>
      </c>
      <c r="E791" s="4" t="s">
        <v>29</v>
      </c>
      <c r="F791" s="4" t="s">
        <v>1103</v>
      </c>
      <c r="G791" s="4">
        <v>5.0</v>
      </c>
      <c r="H791" s="6">
        <v>14890.38</v>
      </c>
      <c r="I791" s="6">
        <v>74451.9</v>
      </c>
      <c r="J791" s="6">
        <v>60526.78</v>
      </c>
      <c r="K791" s="6">
        <v>13925.12</v>
      </c>
      <c r="L791" s="4" t="str">
        <f t="shared" si="1"/>
        <v>Sep-2025</v>
      </c>
    </row>
    <row r="792" ht="15.75" customHeight="1">
      <c r="A792" s="4" t="s">
        <v>1104</v>
      </c>
      <c r="B792" s="5">
        <v>45902.0</v>
      </c>
      <c r="C792" s="4" t="s">
        <v>102</v>
      </c>
      <c r="D792" s="4" t="s">
        <v>24</v>
      </c>
      <c r="E792" s="4" t="s">
        <v>25</v>
      </c>
      <c r="F792" s="4" t="s">
        <v>297</v>
      </c>
      <c r="G792" s="4">
        <v>4.0</v>
      </c>
      <c r="H792" s="6">
        <v>7018.72</v>
      </c>
      <c r="I792" s="6">
        <v>28074.88</v>
      </c>
      <c r="J792" s="6">
        <v>21581.09</v>
      </c>
      <c r="K792" s="6">
        <v>6493.79</v>
      </c>
      <c r="L792" s="4" t="str">
        <f t="shared" si="1"/>
        <v>Sep-2025</v>
      </c>
    </row>
    <row r="793" ht="15.75" customHeight="1">
      <c r="A793" s="4" t="s">
        <v>1105</v>
      </c>
      <c r="B793" s="5">
        <v>45902.0</v>
      </c>
      <c r="C793" s="4" t="s">
        <v>61</v>
      </c>
      <c r="D793" s="4" t="s">
        <v>19</v>
      </c>
      <c r="E793" s="4" t="s">
        <v>29</v>
      </c>
      <c r="F793" s="4" t="s">
        <v>1106</v>
      </c>
      <c r="G793" s="4">
        <v>4.0</v>
      </c>
      <c r="H793" s="6">
        <v>1819.92</v>
      </c>
      <c r="I793" s="6">
        <v>7279.68</v>
      </c>
      <c r="J793" s="6">
        <v>6480.33</v>
      </c>
      <c r="K793" s="6">
        <v>799.35</v>
      </c>
      <c r="L793" s="4" t="str">
        <f t="shared" si="1"/>
        <v>Sep-2025</v>
      </c>
    </row>
    <row r="794" ht="15.75" customHeight="1">
      <c r="A794" s="4" t="s">
        <v>1107</v>
      </c>
      <c r="B794" s="5">
        <v>45902.0</v>
      </c>
      <c r="C794" s="4" t="s">
        <v>47</v>
      </c>
      <c r="D794" s="4" t="s">
        <v>14</v>
      </c>
      <c r="E794" s="4" t="s">
        <v>25</v>
      </c>
      <c r="F794" s="4" t="s">
        <v>448</v>
      </c>
      <c r="G794" s="4">
        <v>1.0</v>
      </c>
      <c r="H794" s="6">
        <v>237.3</v>
      </c>
      <c r="I794" s="6">
        <v>237.3</v>
      </c>
      <c r="J794" s="6">
        <v>180.58</v>
      </c>
      <c r="K794" s="6">
        <v>56.72</v>
      </c>
      <c r="L794" s="4" t="str">
        <f t="shared" si="1"/>
        <v>Sep-2025</v>
      </c>
    </row>
    <row r="795" ht="15.75" customHeight="1">
      <c r="A795" s="4" t="s">
        <v>1108</v>
      </c>
      <c r="B795" s="5">
        <v>45903.0</v>
      </c>
      <c r="C795" s="4" t="s">
        <v>66</v>
      </c>
      <c r="D795" s="4" t="s">
        <v>42</v>
      </c>
      <c r="E795" s="4" t="s">
        <v>25</v>
      </c>
      <c r="F795" s="4" t="s">
        <v>638</v>
      </c>
      <c r="G795" s="4">
        <v>3.0</v>
      </c>
      <c r="H795" s="6">
        <v>3190.24</v>
      </c>
      <c r="I795" s="6">
        <v>9570.72</v>
      </c>
      <c r="J795" s="6">
        <v>7586.0</v>
      </c>
      <c r="K795" s="6">
        <v>1984.72</v>
      </c>
      <c r="L795" s="4" t="str">
        <f t="shared" si="1"/>
        <v>Sep-2025</v>
      </c>
    </row>
    <row r="796" ht="15.75" customHeight="1">
      <c r="A796" s="4" t="s">
        <v>1109</v>
      </c>
      <c r="B796" s="5">
        <v>45903.0</v>
      </c>
      <c r="C796" s="4" t="s">
        <v>35</v>
      </c>
      <c r="D796" s="4" t="s">
        <v>14</v>
      </c>
      <c r="E796" s="4" t="s">
        <v>25</v>
      </c>
      <c r="F796" s="4" t="s">
        <v>288</v>
      </c>
      <c r="G796" s="4">
        <v>1.0</v>
      </c>
      <c r="H796" s="6">
        <v>1070.92</v>
      </c>
      <c r="I796" s="6">
        <v>1070.92</v>
      </c>
      <c r="J796" s="6">
        <v>781.36</v>
      </c>
      <c r="K796" s="6">
        <v>289.56</v>
      </c>
      <c r="L796" s="4" t="str">
        <f t="shared" si="1"/>
        <v>Sep-2025</v>
      </c>
    </row>
    <row r="797" ht="15.75" customHeight="1">
      <c r="A797" s="4" t="s">
        <v>1110</v>
      </c>
      <c r="B797" s="5">
        <v>45903.0</v>
      </c>
      <c r="C797" s="4" t="s">
        <v>18</v>
      </c>
      <c r="D797" s="4" t="s">
        <v>19</v>
      </c>
      <c r="E797" s="4" t="s">
        <v>20</v>
      </c>
      <c r="F797" s="4" t="s">
        <v>73</v>
      </c>
      <c r="G797" s="4">
        <v>3.0</v>
      </c>
      <c r="H797" s="6">
        <v>59193.07</v>
      </c>
      <c r="I797" s="6">
        <v>177579.21</v>
      </c>
      <c r="J797" s="6">
        <v>160893.55</v>
      </c>
      <c r="K797" s="6">
        <v>16685.66</v>
      </c>
      <c r="L797" s="4" t="str">
        <f t="shared" si="1"/>
        <v>Sep-2025</v>
      </c>
    </row>
    <row r="798" ht="15.75" customHeight="1">
      <c r="A798" s="4" t="s">
        <v>1111</v>
      </c>
      <c r="B798" s="5">
        <v>45904.0</v>
      </c>
      <c r="C798" s="4" t="s">
        <v>23</v>
      </c>
      <c r="D798" s="4" t="s">
        <v>24</v>
      </c>
      <c r="E798" s="4" t="s">
        <v>15</v>
      </c>
      <c r="F798" s="4" t="s">
        <v>302</v>
      </c>
      <c r="G798" s="4">
        <v>5.0</v>
      </c>
      <c r="H798" s="6">
        <v>16810.91</v>
      </c>
      <c r="I798" s="6">
        <v>84054.55</v>
      </c>
      <c r="J798" s="6">
        <v>61151.15</v>
      </c>
      <c r="K798" s="6">
        <v>22903.4</v>
      </c>
      <c r="L798" s="4" t="str">
        <f t="shared" si="1"/>
        <v>Sep-2025</v>
      </c>
    </row>
    <row r="799" ht="15.75" customHeight="1">
      <c r="A799" s="4" t="s">
        <v>1112</v>
      </c>
      <c r="B799" s="5">
        <v>45904.0</v>
      </c>
      <c r="C799" s="4" t="s">
        <v>41</v>
      </c>
      <c r="D799" s="4" t="s">
        <v>42</v>
      </c>
      <c r="E799" s="4" t="s">
        <v>20</v>
      </c>
      <c r="F799" s="4" t="s">
        <v>856</v>
      </c>
      <c r="G799" s="4">
        <v>2.0</v>
      </c>
      <c r="H799" s="6">
        <v>4707.52</v>
      </c>
      <c r="I799" s="6">
        <v>9415.04</v>
      </c>
      <c r="J799" s="6">
        <v>7390.07</v>
      </c>
      <c r="K799" s="6">
        <v>2024.97</v>
      </c>
      <c r="L799" s="4" t="str">
        <f t="shared" si="1"/>
        <v>Sep-2025</v>
      </c>
    </row>
    <row r="800" ht="15.75" customHeight="1">
      <c r="A800" s="4" t="s">
        <v>1113</v>
      </c>
      <c r="B800" s="5">
        <v>45904.0</v>
      </c>
      <c r="C800" s="4" t="s">
        <v>66</v>
      </c>
      <c r="D800" s="4" t="s">
        <v>42</v>
      </c>
      <c r="E800" s="4" t="s">
        <v>25</v>
      </c>
      <c r="F800" s="4" t="s">
        <v>1114</v>
      </c>
      <c r="G800" s="4">
        <v>4.0</v>
      </c>
      <c r="H800" s="6">
        <v>3840.59</v>
      </c>
      <c r="I800" s="6">
        <v>15362.36</v>
      </c>
      <c r="J800" s="6">
        <v>12859.05</v>
      </c>
      <c r="K800" s="6">
        <v>2503.31</v>
      </c>
      <c r="L800" s="4" t="str">
        <f t="shared" si="1"/>
        <v>Sep-2025</v>
      </c>
    </row>
    <row r="801" ht="15.75" customHeight="1">
      <c r="A801" s="4" t="s">
        <v>1115</v>
      </c>
      <c r="B801" s="5">
        <v>45904.0</v>
      </c>
      <c r="C801" s="4" t="s">
        <v>72</v>
      </c>
      <c r="D801" s="4" t="s">
        <v>24</v>
      </c>
      <c r="E801" s="4" t="s">
        <v>25</v>
      </c>
      <c r="F801" s="4" t="s">
        <v>478</v>
      </c>
      <c r="G801" s="4">
        <v>2.0</v>
      </c>
      <c r="H801" s="6">
        <v>8950.37</v>
      </c>
      <c r="I801" s="6">
        <v>17900.74</v>
      </c>
      <c r="J801" s="6">
        <v>15044.24</v>
      </c>
      <c r="K801" s="6">
        <v>2856.5</v>
      </c>
      <c r="L801" s="4" t="str">
        <f t="shared" si="1"/>
        <v>Sep-2025</v>
      </c>
    </row>
    <row r="802" ht="15.75" customHeight="1">
      <c r="A802" s="4" t="s">
        <v>1116</v>
      </c>
      <c r="B802" s="5">
        <v>45904.0</v>
      </c>
      <c r="C802" s="4" t="s">
        <v>13</v>
      </c>
      <c r="D802" s="4" t="s">
        <v>14</v>
      </c>
      <c r="E802" s="4" t="s">
        <v>20</v>
      </c>
      <c r="F802" s="4" t="s">
        <v>205</v>
      </c>
      <c r="G802" s="4">
        <v>7.0</v>
      </c>
      <c r="H802" s="6">
        <v>645.08</v>
      </c>
      <c r="I802" s="6">
        <v>4515.56</v>
      </c>
      <c r="J802" s="6">
        <v>3532.81</v>
      </c>
      <c r="K802" s="6">
        <v>982.75</v>
      </c>
      <c r="L802" s="4" t="str">
        <f t="shared" si="1"/>
        <v>Sep-2025</v>
      </c>
    </row>
    <row r="803" ht="15.75" customHeight="1">
      <c r="A803" s="4" t="s">
        <v>1117</v>
      </c>
      <c r="B803" s="5">
        <v>45905.0</v>
      </c>
      <c r="C803" s="4" t="s">
        <v>18</v>
      </c>
      <c r="D803" s="4" t="s">
        <v>19</v>
      </c>
      <c r="E803" s="4" t="s">
        <v>15</v>
      </c>
      <c r="F803" s="4" t="s">
        <v>607</v>
      </c>
      <c r="G803" s="4">
        <v>3.0</v>
      </c>
      <c r="H803" s="6">
        <v>20948.79</v>
      </c>
      <c r="I803" s="6">
        <v>62846.37</v>
      </c>
      <c r="J803" s="6">
        <v>54783.58</v>
      </c>
      <c r="K803" s="6">
        <v>8062.79</v>
      </c>
      <c r="L803" s="4" t="str">
        <f t="shared" si="1"/>
        <v>Sep-2025</v>
      </c>
    </row>
    <row r="804" ht="15.75" customHeight="1">
      <c r="A804" s="4" t="s">
        <v>1118</v>
      </c>
      <c r="B804" s="5">
        <v>45906.0</v>
      </c>
      <c r="C804" s="4" t="s">
        <v>47</v>
      </c>
      <c r="D804" s="4" t="s">
        <v>14</v>
      </c>
      <c r="E804" s="4" t="s">
        <v>15</v>
      </c>
      <c r="F804" s="4" t="s">
        <v>365</v>
      </c>
      <c r="G804" s="4">
        <v>3.0</v>
      </c>
      <c r="H804" s="6">
        <v>292.83</v>
      </c>
      <c r="I804" s="6">
        <v>878.49</v>
      </c>
      <c r="J804" s="6">
        <v>726.93</v>
      </c>
      <c r="K804" s="6">
        <v>151.56</v>
      </c>
      <c r="L804" s="4" t="str">
        <f t="shared" si="1"/>
        <v>Sep-2025</v>
      </c>
    </row>
    <row r="805" ht="15.75" customHeight="1">
      <c r="A805" s="4" t="s">
        <v>1119</v>
      </c>
      <c r="B805" s="5">
        <v>45906.0</v>
      </c>
      <c r="C805" s="4" t="s">
        <v>102</v>
      </c>
      <c r="D805" s="4" t="s">
        <v>24</v>
      </c>
      <c r="E805" s="4" t="s">
        <v>20</v>
      </c>
      <c r="F805" s="4" t="s">
        <v>340</v>
      </c>
      <c r="G805" s="4">
        <v>1.0</v>
      </c>
      <c r="H805" s="6">
        <v>17312.61</v>
      </c>
      <c r="I805" s="6">
        <v>17312.61</v>
      </c>
      <c r="J805" s="6">
        <v>13015.28</v>
      </c>
      <c r="K805" s="6">
        <v>4297.33</v>
      </c>
      <c r="L805" s="4" t="str">
        <f t="shared" si="1"/>
        <v>Sep-2025</v>
      </c>
    </row>
    <row r="806" ht="15.75" customHeight="1">
      <c r="A806" s="4" t="s">
        <v>1120</v>
      </c>
      <c r="B806" s="5">
        <v>45906.0</v>
      </c>
      <c r="C806" s="4" t="s">
        <v>13</v>
      </c>
      <c r="D806" s="4" t="s">
        <v>14</v>
      </c>
      <c r="E806" s="4" t="s">
        <v>20</v>
      </c>
      <c r="F806" s="4" t="s">
        <v>713</v>
      </c>
      <c r="G806" s="4">
        <v>6.0</v>
      </c>
      <c r="H806" s="6">
        <v>129.22</v>
      </c>
      <c r="I806" s="6">
        <v>775.32</v>
      </c>
      <c r="J806" s="6">
        <v>618.93</v>
      </c>
      <c r="K806" s="6">
        <v>156.39</v>
      </c>
      <c r="L806" s="4" t="str">
        <f t="shared" si="1"/>
        <v>Sep-2025</v>
      </c>
    </row>
    <row r="807" ht="15.75" customHeight="1">
      <c r="A807" s="4" t="s">
        <v>1121</v>
      </c>
      <c r="B807" s="5">
        <v>45907.0</v>
      </c>
      <c r="C807" s="4" t="s">
        <v>180</v>
      </c>
      <c r="D807" s="4" t="s">
        <v>19</v>
      </c>
      <c r="E807" s="4" t="s">
        <v>15</v>
      </c>
      <c r="F807" s="4" t="s">
        <v>826</v>
      </c>
      <c r="G807" s="4">
        <v>4.0</v>
      </c>
      <c r="H807" s="6">
        <v>38671.14</v>
      </c>
      <c r="I807" s="6">
        <v>154684.56</v>
      </c>
      <c r="J807" s="6">
        <v>124314.92</v>
      </c>
      <c r="K807" s="6">
        <v>30369.64</v>
      </c>
      <c r="L807" s="4" t="str">
        <f t="shared" si="1"/>
        <v>Sep-2025</v>
      </c>
    </row>
    <row r="808" ht="15.75" customHeight="1">
      <c r="A808" s="4" t="s">
        <v>1122</v>
      </c>
      <c r="B808" s="5">
        <v>45908.0</v>
      </c>
      <c r="C808" s="4" t="s">
        <v>72</v>
      </c>
      <c r="D808" s="4" t="s">
        <v>24</v>
      </c>
      <c r="E808" s="4" t="s">
        <v>20</v>
      </c>
      <c r="F808" s="4" t="s">
        <v>110</v>
      </c>
      <c r="G808" s="4">
        <v>7.0</v>
      </c>
      <c r="H808" s="6">
        <v>7814.71</v>
      </c>
      <c r="I808" s="6">
        <v>54702.97</v>
      </c>
      <c r="J808" s="6">
        <v>43934.19</v>
      </c>
      <c r="K808" s="6">
        <v>10768.78</v>
      </c>
      <c r="L808" s="4" t="str">
        <f t="shared" si="1"/>
        <v>Sep-2025</v>
      </c>
    </row>
    <row r="809" ht="15.75" customHeight="1">
      <c r="A809" s="4" t="s">
        <v>1123</v>
      </c>
      <c r="B809" s="5">
        <v>45908.0</v>
      </c>
      <c r="C809" s="4" t="s">
        <v>66</v>
      </c>
      <c r="D809" s="4" t="s">
        <v>42</v>
      </c>
      <c r="E809" s="4" t="s">
        <v>20</v>
      </c>
      <c r="F809" s="4" t="s">
        <v>311</v>
      </c>
      <c r="G809" s="4">
        <v>1.0</v>
      </c>
      <c r="H809" s="6">
        <v>1539.61</v>
      </c>
      <c r="I809" s="6">
        <v>1539.61</v>
      </c>
      <c r="J809" s="6">
        <v>1269.11</v>
      </c>
      <c r="K809" s="6">
        <v>270.5</v>
      </c>
      <c r="L809" s="4" t="str">
        <f t="shared" si="1"/>
        <v>Sep-2025</v>
      </c>
    </row>
    <row r="810" ht="15.75" customHeight="1">
      <c r="A810" s="4" t="s">
        <v>1124</v>
      </c>
      <c r="B810" s="5">
        <v>45908.0</v>
      </c>
      <c r="C810" s="4" t="s">
        <v>13</v>
      </c>
      <c r="D810" s="4" t="s">
        <v>14</v>
      </c>
      <c r="E810" s="4" t="s">
        <v>25</v>
      </c>
      <c r="F810" s="4" t="s">
        <v>227</v>
      </c>
      <c r="G810" s="4">
        <v>7.0</v>
      </c>
      <c r="H810" s="6">
        <v>1334.15</v>
      </c>
      <c r="I810" s="6">
        <v>9339.05</v>
      </c>
      <c r="J810" s="6">
        <v>6538.59</v>
      </c>
      <c r="K810" s="6">
        <v>2800.46</v>
      </c>
      <c r="L810" s="4" t="str">
        <f t="shared" si="1"/>
        <v>Sep-2025</v>
      </c>
    </row>
    <row r="811" ht="15.75" customHeight="1">
      <c r="A811" s="4" t="s">
        <v>1125</v>
      </c>
      <c r="B811" s="5">
        <v>45908.0</v>
      </c>
      <c r="C811" s="4" t="s">
        <v>69</v>
      </c>
      <c r="D811" s="4" t="s">
        <v>19</v>
      </c>
      <c r="E811" s="4" t="s">
        <v>15</v>
      </c>
      <c r="F811" s="4" t="s">
        <v>707</v>
      </c>
      <c r="G811" s="4">
        <v>7.0</v>
      </c>
      <c r="H811" s="6">
        <v>24045.08</v>
      </c>
      <c r="I811" s="6">
        <v>168315.56</v>
      </c>
      <c r="J811" s="6">
        <v>144210.9</v>
      </c>
      <c r="K811" s="6">
        <v>24104.66</v>
      </c>
      <c r="L811" s="4" t="str">
        <f t="shared" si="1"/>
        <v>Sep-2025</v>
      </c>
    </row>
    <row r="812" ht="15.75" customHeight="1">
      <c r="A812" s="4" t="s">
        <v>1126</v>
      </c>
      <c r="B812" s="5">
        <v>45908.0</v>
      </c>
      <c r="C812" s="4" t="s">
        <v>47</v>
      </c>
      <c r="D812" s="4" t="s">
        <v>14</v>
      </c>
      <c r="E812" s="4" t="s">
        <v>20</v>
      </c>
      <c r="F812" s="4" t="s">
        <v>1127</v>
      </c>
      <c r="G812" s="4">
        <v>3.0</v>
      </c>
      <c r="H812" s="6">
        <v>210.93</v>
      </c>
      <c r="I812" s="6">
        <v>632.79</v>
      </c>
      <c r="J812" s="6">
        <v>444.87</v>
      </c>
      <c r="K812" s="6">
        <v>187.92</v>
      </c>
      <c r="L812" s="4" t="str">
        <f t="shared" si="1"/>
        <v>Sep-2025</v>
      </c>
    </row>
    <row r="813" ht="15.75" customHeight="1">
      <c r="A813" s="4" t="s">
        <v>1128</v>
      </c>
      <c r="B813" s="5">
        <v>45908.0</v>
      </c>
      <c r="C813" s="4" t="s">
        <v>75</v>
      </c>
      <c r="D813" s="4" t="s">
        <v>24</v>
      </c>
      <c r="E813" s="4" t="s">
        <v>25</v>
      </c>
      <c r="F813" s="4" t="s">
        <v>145</v>
      </c>
      <c r="G813" s="4">
        <v>2.0</v>
      </c>
      <c r="H813" s="6">
        <v>4761.25</v>
      </c>
      <c r="I813" s="6">
        <v>9522.5</v>
      </c>
      <c r="J813" s="6">
        <v>7865.84</v>
      </c>
      <c r="K813" s="6">
        <v>1656.66</v>
      </c>
      <c r="L813" s="4" t="str">
        <f t="shared" si="1"/>
        <v>Sep-2025</v>
      </c>
    </row>
    <row r="814" ht="15.75" customHeight="1">
      <c r="A814" s="4" t="s">
        <v>1129</v>
      </c>
      <c r="B814" s="5">
        <v>45909.0</v>
      </c>
      <c r="C814" s="4" t="s">
        <v>18</v>
      </c>
      <c r="D814" s="4" t="s">
        <v>19</v>
      </c>
      <c r="E814" s="4" t="s">
        <v>20</v>
      </c>
      <c r="F814" s="4" t="s">
        <v>80</v>
      </c>
      <c r="G814" s="4">
        <v>7.0</v>
      </c>
      <c r="H814" s="6">
        <v>54881.52</v>
      </c>
      <c r="I814" s="6">
        <v>384170.64</v>
      </c>
      <c r="J814" s="6">
        <v>349039.04</v>
      </c>
      <c r="K814" s="6">
        <v>35131.6</v>
      </c>
      <c r="L814" s="4" t="str">
        <f t="shared" si="1"/>
        <v>Sep-2025</v>
      </c>
    </row>
    <row r="815" ht="15.75" customHeight="1">
      <c r="A815" s="4" t="s">
        <v>1130</v>
      </c>
      <c r="B815" s="5">
        <v>45909.0</v>
      </c>
      <c r="C815" s="4" t="s">
        <v>72</v>
      </c>
      <c r="D815" s="4" t="s">
        <v>24</v>
      </c>
      <c r="E815" s="4" t="s">
        <v>20</v>
      </c>
      <c r="F815" s="4" t="s">
        <v>291</v>
      </c>
      <c r="G815" s="4">
        <v>2.0</v>
      </c>
      <c r="H815" s="6">
        <v>4678.33</v>
      </c>
      <c r="I815" s="6">
        <v>9356.66</v>
      </c>
      <c r="J815" s="6">
        <v>7255.03</v>
      </c>
      <c r="K815" s="6">
        <v>2101.63</v>
      </c>
      <c r="L815" s="4" t="str">
        <f t="shared" si="1"/>
        <v>Sep-2025</v>
      </c>
    </row>
    <row r="816" ht="15.75" customHeight="1">
      <c r="A816" s="4" t="s">
        <v>1131</v>
      </c>
      <c r="B816" s="5">
        <v>45910.0</v>
      </c>
      <c r="C816" s="4" t="s">
        <v>160</v>
      </c>
      <c r="D816" s="4" t="s">
        <v>42</v>
      </c>
      <c r="E816" s="4" t="s">
        <v>29</v>
      </c>
      <c r="F816" s="4" t="s">
        <v>59</v>
      </c>
      <c r="G816" s="4">
        <v>4.0</v>
      </c>
      <c r="H816" s="6">
        <v>3110.58</v>
      </c>
      <c r="I816" s="6">
        <v>12442.32</v>
      </c>
      <c r="J816" s="6">
        <v>10605.46</v>
      </c>
      <c r="K816" s="6">
        <v>1836.86</v>
      </c>
      <c r="L816" s="4" t="str">
        <f t="shared" si="1"/>
        <v>Sep-2025</v>
      </c>
    </row>
    <row r="817" ht="15.75" customHeight="1">
      <c r="A817" s="4" t="s">
        <v>1132</v>
      </c>
      <c r="B817" s="5">
        <v>45910.0</v>
      </c>
      <c r="C817" s="4" t="s">
        <v>32</v>
      </c>
      <c r="D817" s="4" t="s">
        <v>19</v>
      </c>
      <c r="E817" s="4" t="s">
        <v>25</v>
      </c>
      <c r="F817" s="4" t="s">
        <v>334</v>
      </c>
      <c r="G817" s="4">
        <v>1.0</v>
      </c>
      <c r="H817" s="6">
        <v>62029.32</v>
      </c>
      <c r="I817" s="6">
        <v>62029.32</v>
      </c>
      <c r="J817" s="6">
        <v>54797.6</v>
      </c>
      <c r="K817" s="6">
        <v>7231.72</v>
      </c>
      <c r="L817" s="4" t="str">
        <f t="shared" si="1"/>
        <v>Sep-2025</v>
      </c>
    </row>
    <row r="818" ht="15.75" customHeight="1">
      <c r="A818" s="4" t="s">
        <v>1133</v>
      </c>
      <c r="B818" s="5">
        <v>45911.0</v>
      </c>
      <c r="C818" s="4" t="s">
        <v>75</v>
      </c>
      <c r="D818" s="4" t="s">
        <v>24</v>
      </c>
      <c r="E818" s="4" t="s">
        <v>25</v>
      </c>
      <c r="F818" s="4" t="s">
        <v>274</v>
      </c>
      <c r="G818" s="4">
        <v>7.0</v>
      </c>
      <c r="H818" s="6">
        <v>1531.42</v>
      </c>
      <c r="I818" s="6">
        <v>10719.94</v>
      </c>
      <c r="J818" s="6">
        <v>7912.72</v>
      </c>
      <c r="K818" s="6">
        <v>2807.22</v>
      </c>
      <c r="L818" s="4" t="str">
        <f t="shared" si="1"/>
        <v>Sep-2025</v>
      </c>
    </row>
    <row r="819" ht="15.75" customHeight="1">
      <c r="A819" s="4" t="s">
        <v>1134</v>
      </c>
      <c r="B819" s="5">
        <v>45911.0</v>
      </c>
      <c r="C819" s="4" t="s">
        <v>155</v>
      </c>
      <c r="D819" s="4" t="s">
        <v>24</v>
      </c>
      <c r="E819" s="4" t="s">
        <v>20</v>
      </c>
      <c r="F819" s="4" t="s">
        <v>169</v>
      </c>
      <c r="G819" s="4">
        <v>4.0</v>
      </c>
      <c r="H819" s="6">
        <v>17311.77</v>
      </c>
      <c r="I819" s="6">
        <v>69247.08</v>
      </c>
      <c r="J819" s="6">
        <v>55146.05</v>
      </c>
      <c r="K819" s="6">
        <v>14101.03</v>
      </c>
      <c r="L819" s="4" t="str">
        <f t="shared" si="1"/>
        <v>Sep-2025</v>
      </c>
    </row>
    <row r="820" ht="15.75" customHeight="1">
      <c r="A820" s="4" t="s">
        <v>1135</v>
      </c>
      <c r="B820" s="5">
        <v>45912.0</v>
      </c>
      <c r="C820" s="4" t="s">
        <v>66</v>
      </c>
      <c r="D820" s="4" t="s">
        <v>42</v>
      </c>
      <c r="E820" s="4" t="s">
        <v>25</v>
      </c>
      <c r="F820" s="4" t="s">
        <v>175</v>
      </c>
      <c r="G820" s="4">
        <v>7.0</v>
      </c>
      <c r="H820" s="6">
        <v>4244.26</v>
      </c>
      <c r="I820" s="6">
        <v>29709.82</v>
      </c>
      <c r="J820" s="6">
        <v>25852.31</v>
      </c>
      <c r="K820" s="6">
        <v>3857.51</v>
      </c>
      <c r="L820" s="4" t="str">
        <f t="shared" si="1"/>
        <v>Sep-2025</v>
      </c>
    </row>
    <row r="821" ht="15.75" customHeight="1">
      <c r="A821" s="4" t="s">
        <v>1136</v>
      </c>
      <c r="B821" s="5">
        <v>45912.0</v>
      </c>
      <c r="C821" s="4" t="s">
        <v>69</v>
      </c>
      <c r="D821" s="4" t="s">
        <v>19</v>
      </c>
      <c r="E821" s="4" t="s">
        <v>20</v>
      </c>
      <c r="F821" s="4" t="s">
        <v>386</v>
      </c>
      <c r="G821" s="4">
        <v>4.0</v>
      </c>
      <c r="H821" s="6">
        <v>34743.65</v>
      </c>
      <c r="I821" s="6">
        <v>138974.6</v>
      </c>
      <c r="J821" s="6">
        <v>119223.33</v>
      </c>
      <c r="K821" s="6">
        <v>19751.27</v>
      </c>
      <c r="L821" s="4" t="str">
        <f t="shared" si="1"/>
        <v>Sep-2025</v>
      </c>
    </row>
    <row r="822" ht="15.75" customHeight="1">
      <c r="A822" s="4" t="s">
        <v>1137</v>
      </c>
      <c r="B822" s="5">
        <v>45912.0</v>
      </c>
      <c r="C822" s="4" t="s">
        <v>140</v>
      </c>
      <c r="D822" s="4" t="s">
        <v>14</v>
      </c>
      <c r="E822" s="4" t="s">
        <v>25</v>
      </c>
      <c r="F822" s="4" t="s">
        <v>365</v>
      </c>
      <c r="G822" s="4">
        <v>4.0</v>
      </c>
      <c r="H822" s="6">
        <v>1025.51</v>
      </c>
      <c r="I822" s="6">
        <v>4102.04</v>
      </c>
      <c r="J822" s="6">
        <v>2877.2</v>
      </c>
      <c r="K822" s="6">
        <v>1224.84</v>
      </c>
      <c r="L822" s="4" t="str">
        <f t="shared" si="1"/>
        <v>Sep-2025</v>
      </c>
    </row>
    <row r="823" ht="15.75" customHeight="1">
      <c r="A823" s="4" t="s">
        <v>1138</v>
      </c>
      <c r="B823" s="5">
        <v>45912.0</v>
      </c>
      <c r="C823" s="4" t="s">
        <v>47</v>
      </c>
      <c r="D823" s="4" t="s">
        <v>14</v>
      </c>
      <c r="E823" s="4" t="s">
        <v>29</v>
      </c>
      <c r="F823" s="4" t="s">
        <v>346</v>
      </c>
      <c r="G823" s="4">
        <v>7.0</v>
      </c>
      <c r="H823" s="6">
        <v>1255.78</v>
      </c>
      <c r="I823" s="6">
        <v>8790.46</v>
      </c>
      <c r="J823" s="6">
        <v>6158.51</v>
      </c>
      <c r="K823" s="6">
        <v>2631.95</v>
      </c>
      <c r="L823" s="4" t="str">
        <f t="shared" si="1"/>
        <v>Sep-2025</v>
      </c>
    </row>
    <row r="824" ht="15.75" customHeight="1">
      <c r="A824" s="4" t="s">
        <v>1139</v>
      </c>
      <c r="B824" s="5">
        <v>45913.0</v>
      </c>
      <c r="C824" s="4" t="s">
        <v>18</v>
      </c>
      <c r="D824" s="4" t="s">
        <v>19</v>
      </c>
      <c r="E824" s="4" t="s">
        <v>25</v>
      </c>
      <c r="F824" s="4" t="s">
        <v>541</v>
      </c>
      <c r="G824" s="4">
        <v>4.0</v>
      </c>
      <c r="H824" s="6">
        <v>29430.77</v>
      </c>
      <c r="I824" s="6">
        <v>117723.08</v>
      </c>
      <c r="J824" s="6">
        <v>94431.65</v>
      </c>
      <c r="K824" s="6">
        <v>23291.43</v>
      </c>
      <c r="L824" s="4" t="str">
        <f t="shared" si="1"/>
        <v>Sep-2025</v>
      </c>
    </row>
    <row r="825" ht="15.75" customHeight="1">
      <c r="A825" s="4" t="s">
        <v>1140</v>
      </c>
      <c r="B825" s="5">
        <v>45913.0</v>
      </c>
      <c r="C825" s="4" t="s">
        <v>140</v>
      </c>
      <c r="D825" s="4" t="s">
        <v>14</v>
      </c>
      <c r="E825" s="4" t="s">
        <v>29</v>
      </c>
      <c r="F825" s="4" t="s">
        <v>826</v>
      </c>
      <c r="G825" s="4">
        <v>3.0</v>
      </c>
      <c r="H825" s="6">
        <v>1207.1</v>
      </c>
      <c r="I825" s="6">
        <v>3621.3</v>
      </c>
      <c r="J825" s="6">
        <v>2839.72</v>
      </c>
      <c r="K825" s="6">
        <v>781.58</v>
      </c>
      <c r="L825" s="4" t="str">
        <f t="shared" si="1"/>
        <v>Sep-2025</v>
      </c>
    </row>
    <row r="826" ht="15.75" customHeight="1">
      <c r="A826" s="4" t="s">
        <v>1141</v>
      </c>
      <c r="B826" s="5">
        <v>45913.0</v>
      </c>
      <c r="C826" s="4" t="s">
        <v>109</v>
      </c>
      <c r="D826" s="4" t="s">
        <v>42</v>
      </c>
      <c r="E826" s="4" t="s">
        <v>15</v>
      </c>
      <c r="F826" s="4" t="s">
        <v>141</v>
      </c>
      <c r="G826" s="4">
        <v>4.0</v>
      </c>
      <c r="H826" s="6">
        <v>1198.93</v>
      </c>
      <c r="I826" s="6">
        <v>4795.72</v>
      </c>
      <c r="J826" s="6">
        <v>3942.64</v>
      </c>
      <c r="K826" s="6">
        <v>853.08</v>
      </c>
      <c r="L826" s="4" t="str">
        <f t="shared" si="1"/>
        <v>Sep-2025</v>
      </c>
    </row>
    <row r="827" ht="15.75" customHeight="1">
      <c r="A827" s="4" t="s">
        <v>1142</v>
      </c>
      <c r="B827" s="5">
        <v>45914.0</v>
      </c>
      <c r="C827" s="4" t="s">
        <v>32</v>
      </c>
      <c r="D827" s="4" t="s">
        <v>19</v>
      </c>
      <c r="E827" s="4" t="s">
        <v>29</v>
      </c>
      <c r="F827" s="4" t="s">
        <v>82</v>
      </c>
      <c r="G827" s="4">
        <v>1.0</v>
      </c>
      <c r="H827" s="6">
        <v>43117.19</v>
      </c>
      <c r="I827" s="6">
        <v>43117.19</v>
      </c>
      <c r="J827" s="6">
        <v>39390.61</v>
      </c>
      <c r="K827" s="6">
        <v>3726.58</v>
      </c>
      <c r="L827" s="4" t="str">
        <f t="shared" si="1"/>
        <v>Sep-2025</v>
      </c>
    </row>
    <row r="828" ht="15.75" customHeight="1">
      <c r="A828" s="4" t="s">
        <v>1143</v>
      </c>
      <c r="B828" s="5">
        <v>45914.0</v>
      </c>
      <c r="C828" s="4" t="s">
        <v>41</v>
      </c>
      <c r="D828" s="4" t="s">
        <v>42</v>
      </c>
      <c r="E828" s="4" t="s">
        <v>29</v>
      </c>
      <c r="F828" s="4" t="s">
        <v>70</v>
      </c>
      <c r="G828" s="4">
        <v>4.0</v>
      </c>
      <c r="H828" s="6">
        <v>2247.42</v>
      </c>
      <c r="I828" s="6">
        <v>8989.68</v>
      </c>
      <c r="J828" s="6">
        <v>7343.5</v>
      </c>
      <c r="K828" s="6">
        <v>1646.18</v>
      </c>
      <c r="L828" s="4" t="str">
        <f t="shared" si="1"/>
        <v>Sep-2025</v>
      </c>
    </row>
    <row r="829" ht="15.75" customHeight="1">
      <c r="A829" s="4" t="s">
        <v>1144</v>
      </c>
      <c r="B829" s="5">
        <v>45915.0</v>
      </c>
      <c r="C829" s="4" t="s">
        <v>38</v>
      </c>
      <c r="D829" s="4" t="s">
        <v>19</v>
      </c>
      <c r="E829" s="4" t="s">
        <v>25</v>
      </c>
      <c r="F829" s="4" t="s">
        <v>223</v>
      </c>
      <c r="G829" s="4">
        <v>6.0</v>
      </c>
      <c r="H829" s="6">
        <v>62692.11</v>
      </c>
      <c r="I829" s="6">
        <v>376152.66</v>
      </c>
      <c r="J829" s="6">
        <v>345692.74</v>
      </c>
      <c r="K829" s="6">
        <v>30459.92</v>
      </c>
      <c r="L829" s="4" t="str">
        <f t="shared" si="1"/>
        <v>Sep-2025</v>
      </c>
    </row>
    <row r="830" ht="15.75" customHeight="1">
      <c r="A830" s="4" t="s">
        <v>1145</v>
      </c>
      <c r="B830" s="5">
        <v>45915.0</v>
      </c>
      <c r="C830" s="4" t="s">
        <v>102</v>
      </c>
      <c r="D830" s="4" t="s">
        <v>24</v>
      </c>
      <c r="E830" s="4" t="s">
        <v>29</v>
      </c>
      <c r="F830" s="4" t="s">
        <v>205</v>
      </c>
      <c r="G830" s="4">
        <v>2.0</v>
      </c>
      <c r="H830" s="6">
        <v>3250.94</v>
      </c>
      <c r="I830" s="6">
        <v>6501.88</v>
      </c>
      <c r="J830" s="6">
        <v>4876.6</v>
      </c>
      <c r="K830" s="6">
        <v>1625.28</v>
      </c>
      <c r="L830" s="4" t="str">
        <f t="shared" si="1"/>
        <v>Sep-2025</v>
      </c>
    </row>
    <row r="831" ht="15.75" customHeight="1">
      <c r="A831" s="4" t="s">
        <v>1146</v>
      </c>
      <c r="B831" s="5">
        <v>45915.0</v>
      </c>
      <c r="C831" s="4" t="s">
        <v>92</v>
      </c>
      <c r="D831" s="4" t="s">
        <v>14</v>
      </c>
      <c r="E831" s="4" t="s">
        <v>25</v>
      </c>
      <c r="F831" s="4" t="s">
        <v>373</v>
      </c>
      <c r="G831" s="4">
        <v>4.0</v>
      </c>
      <c r="H831" s="6">
        <v>1135.61</v>
      </c>
      <c r="I831" s="6">
        <v>4542.44</v>
      </c>
      <c r="J831" s="6">
        <v>3122.96</v>
      </c>
      <c r="K831" s="6">
        <v>1419.48</v>
      </c>
      <c r="L831" s="4" t="str">
        <f t="shared" si="1"/>
        <v>Sep-2025</v>
      </c>
    </row>
    <row r="832" ht="15.75" customHeight="1">
      <c r="A832" s="4" t="s">
        <v>1147</v>
      </c>
      <c r="B832" s="5">
        <v>45916.0</v>
      </c>
      <c r="C832" s="4" t="s">
        <v>180</v>
      </c>
      <c r="D832" s="4" t="s">
        <v>19</v>
      </c>
      <c r="E832" s="4" t="s">
        <v>29</v>
      </c>
      <c r="F832" s="4" t="s">
        <v>21</v>
      </c>
      <c r="G832" s="4">
        <v>7.0</v>
      </c>
      <c r="H832" s="6">
        <v>72981.29</v>
      </c>
      <c r="I832" s="6">
        <v>510869.03</v>
      </c>
      <c r="J832" s="6">
        <v>409733.43</v>
      </c>
      <c r="K832" s="6">
        <v>101135.6</v>
      </c>
      <c r="L832" s="4" t="str">
        <f t="shared" si="1"/>
        <v>Sep-2025</v>
      </c>
    </row>
    <row r="833" ht="15.75" customHeight="1">
      <c r="A833" s="4" t="s">
        <v>1148</v>
      </c>
      <c r="B833" s="5">
        <v>45917.0</v>
      </c>
      <c r="C833" s="4" t="s">
        <v>140</v>
      </c>
      <c r="D833" s="4" t="s">
        <v>14</v>
      </c>
      <c r="E833" s="4" t="s">
        <v>15</v>
      </c>
      <c r="F833" s="4" t="s">
        <v>30</v>
      </c>
      <c r="G833" s="4">
        <v>7.0</v>
      </c>
      <c r="H833" s="6">
        <v>131.46</v>
      </c>
      <c r="I833" s="6">
        <v>920.22</v>
      </c>
      <c r="J833" s="6">
        <v>765.7</v>
      </c>
      <c r="K833" s="6">
        <v>154.52</v>
      </c>
      <c r="L833" s="4" t="str">
        <f t="shared" si="1"/>
        <v>Sep-2025</v>
      </c>
    </row>
    <row r="834" ht="15.75" customHeight="1">
      <c r="A834" s="4" t="s">
        <v>1149</v>
      </c>
      <c r="B834" s="5">
        <v>45918.0</v>
      </c>
      <c r="C834" s="4" t="s">
        <v>18</v>
      </c>
      <c r="D834" s="4" t="s">
        <v>19</v>
      </c>
      <c r="E834" s="4" t="s">
        <v>29</v>
      </c>
      <c r="F834" s="4" t="s">
        <v>450</v>
      </c>
      <c r="G834" s="4">
        <v>6.0</v>
      </c>
      <c r="H834" s="6">
        <v>47364.66</v>
      </c>
      <c r="I834" s="6">
        <v>284187.96</v>
      </c>
      <c r="J834" s="6">
        <v>249299.23</v>
      </c>
      <c r="K834" s="6">
        <v>34888.73</v>
      </c>
      <c r="L834" s="4" t="str">
        <f t="shared" si="1"/>
        <v>Sep-2025</v>
      </c>
    </row>
    <row r="835" ht="15.75" customHeight="1">
      <c r="A835" s="4" t="s">
        <v>1150</v>
      </c>
      <c r="B835" s="5">
        <v>45918.0</v>
      </c>
      <c r="C835" s="4" t="s">
        <v>92</v>
      </c>
      <c r="D835" s="4" t="s">
        <v>14</v>
      </c>
      <c r="E835" s="4" t="s">
        <v>15</v>
      </c>
      <c r="F835" s="4" t="s">
        <v>633</v>
      </c>
      <c r="G835" s="4">
        <v>6.0</v>
      </c>
      <c r="H835" s="6">
        <v>1158.34</v>
      </c>
      <c r="I835" s="6">
        <v>6950.04</v>
      </c>
      <c r="J835" s="6">
        <v>5810.45</v>
      </c>
      <c r="K835" s="6">
        <v>1139.59</v>
      </c>
      <c r="L835" s="4" t="str">
        <f t="shared" si="1"/>
        <v>Sep-2025</v>
      </c>
    </row>
    <row r="836" ht="15.75" customHeight="1">
      <c r="A836" s="4" t="s">
        <v>1151</v>
      </c>
      <c r="B836" s="5">
        <v>45918.0</v>
      </c>
      <c r="C836" s="4" t="s">
        <v>13</v>
      </c>
      <c r="D836" s="4" t="s">
        <v>14</v>
      </c>
      <c r="E836" s="4" t="s">
        <v>29</v>
      </c>
      <c r="F836" s="4" t="s">
        <v>497</v>
      </c>
      <c r="G836" s="4">
        <v>7.0</v>
      </c>
      <c r="H836" s="6">
        <v>913.44</v>
      </c>
      <c r="I836" s="6">
        <v>6394.08</v>
      </c>
      <c r="J836" s="6">
        <v>5160.44</v>
      </c>
      <c r="K836" s="6">
        <v>1233.64</v>
      </c>
      <c r="L836" s="4" t="str">
        <f t="shared" si="1"/>
        <v>Sep-2025</v>
      </c>
    </row>
    <row r="837" ht="15.75" customHeight="1">
      <c r="A837" s="4" t="s">
        <v>1152</v>
      </c>
      <c r="B837" s="5">
        <v>45919.0</v>
      </c>
      <c r="C837" s="4" t="s">
        <v>155</v>
      </c>
      <c r="D837" s="4" t="s">
        <v>24</v>
      </c>
      <c r="E837" s="4" t="s">
        <v>25</v>
      </c>
      <c r="F837" s="4" t="s">
        <v>195</v>
      </c>
      <c r="G837" s="4">
        <v>1.0</v>
      </c>
      <c r="H837" s="6">
        <v>3469.28</v>
      </c>
      <c r="I837" s="6">
        <v>3469.28</v>
      </c>
      <c r="J837" s="6">
        <v>2506.67</v>
      </c>
      <c r="K837" s="6">
        <v>962.61</v>
      </c>
      <c r="L837" s="4" t="str">
        <f t="shared" si="1"/>
        <v>Sep-2025</v>
      </c>
    </row>
    <row r="838" ht="15.75" customHeight="1">
      <c r="A838" s="4" t="s">
        <v>1153</v>
      </c>
      <c r="B838" s="5">
        <v>45919.0</v>
      </c>
      <c r="C838" s="4" t="s">
        <v>92</v>
      </c>
      <c r="D838" s="4" t="s">
        <v>14</v>
      </c>
      <c r="E838" s="4" t="s">
        <v>20</v>
      </c>
      <c r="F838" s="4" t="s">
        <v>248</v>
      </c>
      <c r="G838" s="4">
        <v>5.0</v>
      </c>
      <c r="H838" s="6">
        <v>177.79</v>
      </c>
      <c r="I838" s="6">
        <v>888.95</v>
      </c>
      <c r="J838" s="6">
        <v>728.13</v>
      </c>
      <c r="K838" s="6">
        <v>160.82</v>
      </c>
      <c r="L838" s="4" t="str">
        <f t="shared" si="1"/>
        <v>Sep-2025</v>
      </c>
    </row>
    <row r="839" ht="15.75" customHeight="1">
      <c r="A839" s="4" t="s">
        <v>1154</v>
      </c>
      <c r="B839" s="5">
        <v>45919.0</v>
      </c>
      <c r="C839" s="4" t="s">
        <v>180</v>
      </c>
      <c r="D839" s="4" t="s">
        <v>19</v>
      </c>
      <c r="E839" s="4" t="s">
        <v>29</v>
      </c>
      <c r="F839" s="4" t="s">
        <v>891</v>
      </c>
      <c r="G839" s="4">
        <v>6.0</v>
      </c>
      <c r="H839" s="6">
        <v>54846.26</v>
      </c>
      <c r="I839" s="6">
        <v>329077.56</v>
      </c>
      <c r="J839" s="6">
        <v>277330.17</v>
      </c>
      <c r="K839" s="6">
        <v>51747.39</v>
      </c>
      <c r="L839" s="4" t="str">
        <f t="shared" si="1"/>
        <v>Sep-2025</v>
      </c>
    </row>
    <row r="840" ht="15.75" customHeight="1">
      <c r="A840" s="4" t="s">
        <v>1155</v>
      </c>
      <c r="B840" s="5">
        <v>45920.0</v>
      </c>
      <c r="C840" s="4" t="s">
        <v>102</v>
      </c>
      <c r="D840" s="4" t="s">
        <v>24</v>
      </c>
      <c r="E840" s="4" t="s">
        <v>29</v>
      </c>
      <c r="F840" s="4" t="s">
        <v>1127</v>
      </c>
      <c r="G840" s="4">
        <v>2.0</v>
      </c>
      <c r="H840" s="6">
        <v>1408.92</v>
      </c>
      <c r="I840" s="6">
        <v>2817.84</v>
      </c>
      <c r="J840" s="6">
        <v>2276.37</v>
      </c>
      <c r="K840" s="6">
        <v>541.47</v>
      </c>
      <c r="L840" s="4" t="str">
        <f t="shared" si="1"/>
        <v>Sep-2025</v>
      </c>
    </row>
    <row r="841" ht="15.75" customHeight="1">
      <c r="A841" s="4" t="s">
        <v>1156</v>
      </c>
      <c r="B841" s="5">
        <v>45920.0</v>
      </c>
      <c r="C841" s="4" t="s">
        <v>72</v>
      </c>
      <c r="D841" s="4" t="s">
        <v>24</v>
      </c>
      <c r="E841" s="4" t="s">
        <v>29</v>
      </c>
      <c r="F841" s="4" t="s">
        <v>307</v>
      </c>
      <c r="G841" s="4">
        <v>5.0</v>
      </c>
      <c r="H841" s="6">
        <v>6282.43</v>
      </c>
      <c r="I841" s="6">
        <v>31412.15</v>
      </c>
      <c r="J841" s="6">
        <v>23363.18</v>
      </c>
      <c r="K841" s="6">
        <v>8048.97</v>
      </c>
      <c r="L841" s="4" t="str">
        <f t="shared" si="1"/>
        <v>Sep-2025</v>
      </c>
    </row>
    <row r="842" ht="15.75" customHeight="1">
      <c r="A842" s="4" t="s">
        <v>1157</v>
      </c>
      <c r="B842" s="5">
        <v>45920.0</v>
      </c>
      <c r="C842" s="4" t="s">
        <v>50</v>
      </c>
      <c r="D842" s="4" t="s">
        <v>42</v>
      </c>
      <c r="E842" s="4" t="s">
        <v>29</v>
      </c>
      <c r="F842" s="4" t="s">
        <v>39</v>
      </c>
      <c r="G842" s="4">
        <v>5.0</v>
      </c>
      <c r="H842" s="6">
        <v>4510.99</v>
      </c>
      <c r="I842" s="6">
        <v>22554.95</v>
      </c>
      <c r="J842" s="6">
        <v>17969.6</v>
      </c>
      <c r="K842" s="6">
        <v>4585.35</v>
      </c>
      <c r="L842" s="4" t="str">
        <f t="shared" si="1"/>
        <v>Sep-2025</v>
      </c>
    </row>
    <row r="843" ht="15.75" customHeight="1">
      <c r="A843" s="4" t="s">
        <v>1158</v>
      </c>
      <c r="B843" s="5">
        <v>45921.0</v>
      </c>
      <c r="C843" s="4" t="s">
        <v>72</v>
      </c>
      <c r="D843" s="4" t="s">
        <v>24</v>
      </c>
      <c r="E843" s="4" t="s">
        <v>15</v>
      </c>
      <c r="F843" s="4" t="s">
        <v>450</v>
      </c>
      <c r="G843" s="4">
        <v>4.0</v>
      </c>
      <c r="H843" s="6">
        <v>17347.64</v>
      </c>
      <c r="I843" s="6">
        <v>69390.56</v>
      </c>
      <c r="J843" s="6">
        <v>51758.04</v>
      </c>
      <c r="K843" s="6">
        <v>17632.52</v>
      </c>
      <c r="L843" s="4" t="str">
        <f t="shared" si="1"/>
        <v>Sep-2025</v>
      </c>
    </row>
    <row r="844" ht="15.75" customHeight="1">
      <c r="A844" s="4" t="s">
        <v>1159</v>
      </c>
      <c r="B844" s="5">
        <v>45921.0</v>
      </c>
      <c r="C844" s="4" t="s">
        <v>23</v>
      </c>
      <c r="D844" s="4" t="s">
        <v>24</v>
      </c>
      <c r="E844" s="4" t="s">
        <v>29</v>
      </c>
      <c r="F844" s="4" t="s">
        <v>359</v>
      </c>
      <c r="G844" s="4">
        <v>4.0</v>
      </c>
      <c r="H844" s="6">
        <v>17398.86</v>
      </c>
      <c r="I844" s="6">
        <v>69595.44</v>
      </c>
      <c r="J844" s="6">
        <v>51867.83</v>
      </c>
      <c r="K844" s="6">
        <v>17727.61</v>
      </c>
      <c r="L844" s="4" t="str">
        <f t="shared" si="1"/>
        <v>Sep-2025</v>
      </c>
    </row>
    <row r="845" ht="15.75" customHeight="1">
      <c r="A845" s="4" t="s">
        <v>1160</v>
      </c>
      <c r="B845" s="5">
        <v>45921.0</v>
      </c>
      <c r="C845" s="4" t="s">
        <v>32</v>
      </c>
      <c r="D845" s="4" t="s">
        <v>19</v>
      </c>
      <c r="E845" s="4" t="s">
        <v>20</v>
      </c>
      <c r="F845" s="4" t="s">
        <v>205</v>
      </c>
      <c r="G845" s="4">
        <v>6.0</v>
      </c>
      <c r="H845" s="6">
        <v>29816.7</v>
      </c>
      <c r="I845" s="6">
        <v>178900.2</v>
      </c>
      <c r="J845" s="6">
        <v>160675.94</v>
      </c>
      <c r="K845" s="6">
        <v>18224.26</v>
      </c>
      <c r="L845" s="4" t="str">
        <f t="shared" si="1"/>
        <v>Sep-2025</v>
      </c>
    </row>
    <row r="846" ht="15.75" customHeight="1">
      <c r="A846" s="4" t="s">
        <v>1161</v>
      </c>
      <c r="B846" s="5">
        <v>45921.0</v>
      </c>
      <c r="C846" s="4" t="s">
        <v>28</v>
      </c>
      <c r="D846" s="4" t="s">
        <v>14</v>
      </c>
      <c r="E846" s="4" t="s">
        <v>29</v>
      </c>
      <c r="F846" s="4" t="s">
        <v>596</v>
      </c>
      <c r="G846" s="4">
        <v>7.0</v>
      </c>
      <c r="H846" s="6">
        <v>1142.21</v>
      </c>
      <c r="I846" s="6">
        <v>7995.47</v>
      </c>
      <c r="J846" s="6">
        <v>6080.41</v>
      </c>
      <c r="K846" s="6">
        <v>1915.06</v>
      </c>
      <c r="L846" s="4" t="str">
        <f t="shared" si="1"/>
        <v>Sep-2025</v>
      </c>
    </row>
    <row r="847" ht="15.75" customHeight="1">
      <c r="A847" s="4" t="s">
        <v>1162</v>
      </c>
      <c r="B847" s="5">
        <v>45921.0</v>
      </c>
      <c r="C847" s="4" t="s">
        <v>38</v>
      </c>
      <c r="D847" s="4" t="s">
        <v>19</v>
      </c>
      <c r="E847" s="4" t="s">
        <v>29</v>
      </c>
      <c r="F847" s="4" t="s">
        <v>199</v>
      </c>
      <c r="G847" s="4">
        <v>1.0</v>
      </c>
      <c r="H847" s="6">
        <v>22402.9</v>
      </c>
      <c r="I847" s="6">
        <v>22402.9</v>
      </c>
      <c r="J847" s="6">
        <v>20053.92</v>
      </c>
      <c r="K847" s="6">
        <v>2348.98</v>
      </c>
      <c r="L847" s="4" t="str">
        <f t="shared" si="1"/>
        <v>Sep-2025</v>
      </c>
    </row>
    <row r="848" ht="15.75" customHeight="1">
      <c r="A848" s="4" t="s">
        <v>1163</v>
      </c>
      <c r="B848" s="5">
        <v>45921.0</v>
      </c>
      <c r="C848" s="4" t="s">
        <v>180</v>
      </c>
      <c r="D848" s="4" t="s">
        <v>19</v>
      </c>
      <c r="E848" s="4" t="s">
        <v>29</v>
      </c>
      <c r="F848" s="4" t="s">
        <v>422</v>
      </c>
      <c r="G848" s="4">
        <v>2.0</v>
      </c>
      <c r="H848" s="6">
        <v>51265.79</v>
      </c>
      <c r="I848" s="6">
        <v>102531.58</v>
      </c>
      <c r="J848" s="6">
        <v>91488.98</v>
      </c>
      <c r="K848" s="6">
        <v>11042.6</v>
      </c>
      <c r="L848" s="4" t="str">
        <f t="shared" si="1"/>
        <v>Sep-2025</v>
      </c>
    </row>
    <row r="849" ht="15.75" customHeight="1">
      <c r="A849" s="4" t="s">
        <v>1164</v>
      </c>
      <c r="B849" s="5">
        <v>45921.0</v>
      </c>
      <c r="C849" s="4" t="s">
        <v>50</v>
      </c>
      <c r="D849" s="4" t="s">
        <v>42</v>
      </c>
      <c r="E849" s="4" t="s">
        <v>29</v>
      </c>
      <c r="F849" s="4" t="s">
        <v>55</v>
      </c>
      <c r="G849" s="4">
        <v>7.0</v>
      </c>
      <c r="H849" s="6">
        <v>3233.02</v>
      </c>
      <c r="I849" s="6">
        <v>22631.14</v>
      </c>
      <c r="J849" s="6">
        <v>17811.44</v>
      </c>
      <c r="K849" s="6">
        <v>4819.7</v>
      </c>
      <c r="L849" s="4" t="str">
        <f t="shared" si="1"/>
        <v>Sep-2025</v>
      </c>
    </row>
    <row r="850" ht="15.75" customHeight="1">
      <c r="A850" s="4" t="s">
        <v>1165</v>
      </c>
      <c r="B850" s="5">
        <v>45921.0</v>
      </c>
      <c r="C850" s="4" t="s">
        <v>41</v>
      </c>
      <c r="D850" s="4" t="s">
        <v>42</v>
      </c>
      <c r="E850" s="4" t="s">
        <v>29</v>
      </c>
      <c r="F850" s="4" t="s">
        <v>135</v>
      </c>
      <c r="G850" s="4">
        <v>3.0</v>
      </c>
      <c r="H850" s="6">
        <v>3593.75</v>
      </c>
      <c r="I850" s="6">
        <v>10781.25</v>
      </c>
      <c r="J850" s="6">
        <v>8171.37</v>
      </c>
      <c r="K850" s="6">
        <v>2609.88</v>
      </c>
      <c r="L850" s="4" t="str">
        <f t="shared" si="1"/>
        <v>Sep-2025</v>
      </c>
    </row>
    <row r="851" ht="15.75" customHeight="1">
      <c r="A851" s="4" t="s">
        <v>1166</v>
      </c>
      <c r="B851" s="5">
        <v>45921.0</v>
      </c>
      <c r="C851" s="4" t="s">
        <v>66</v>
      </c>
      <c r="D851" s="4" t="s">
        <v>42</v>
      </c>
      <c r="E851" s="4" t="s">
        <v>25</v>
      </c>
      <c r="F851" s="4" t="s">
        <v>371</v>
      </c>
      <c r="G851" s="4">
        <v>6.0</v>
      </c>
      <c r="H851" s="6">
        <v>3592.82</v>
      </c>
      <c r="I851" s="6">
        <v>21556.92</v>
      </c>
      <c r="J851" s="6">
        <v>16382.49</v>
      </c>
      <c r="K851" s="6">
        <v>5174.43</v>
      </c>
      <c r="L851" s="4" t="str">
        <f t="shared" si="1"/>
        <v>Sep-2025</v>
      </c>
    </row>
    <row r="852" ht="15.75" customHeight="1">
      <c r="A852" s="4" t="s">
        <v>1167</v>
      </c>
      <c r="B852" s="5">
        <v>45922.0</v>
      </c>
      <c r="C852" s="4" t="s">
        <v>32</v>
      </c>
      <c r="D852" s="4" t="s">
        <v>19</v>
      </c>
      <c r="E852" s="4" t="s">
        <v>20</v>
      </c>
      <c r="F852" s="4" t="s">
        <v>522</v>
      </c>
      <c r="G852" s="4">
        <v>7.0</v>
      </c>
      <c r="H852" s="6">
        <v>69029.2</v>
      </c>
      <c r="I852" s="6">
        <v>483204.4</v>
      </c>
      <c r="J852" s="6">
        <v>386954.62</v>
      </c>
      <c r="K852" s="6">
        <v>96249.78</v>
      </c>
      <c r="L852" s="4" t="str">
        <f t="shared" si="1"/>
        <v>Sep-2025</v>
      </c>
    </row>
    <row r="853" ht="15.75" customHeight="1">
      <c r="A853" s="4" t="s">
        <v>1168</v>
      </c>
      <c r="B853" s="5">
        <v>45922.0</v>
      </c>
      <c r="C853" s="4" t="s">
        <v>61</v>
      </c>
      <c r="D853" s="4" t="s">
        <v>19</v>
      </c>
      <c r="E853" s="4" t="s">
        <v>29</v>
      </c>
      <c r="F853" s="4" t="s">
        <v>80</v>
      </c>
      <c r="G853" s="4">
        <v>1.0</v>
      </c>
      <c r="H853" s="6">
        <v>46586.34</v>
      </c>
      <c r="I853" s="6">
        <v>46586.34</v>
      </c>
      <c r="J853" s="6">
        <v>42223.04</v>
      </c>
      <c r="K853" s="6">
        <v>4363.3</v>
      </c>
      <c r="L853" s="4" t="str">
        <f t="shared" si="1"/>
        <v>Sep-2025</v>
      </c>
    </row>
    <row r="854" ht="15.75" customHeight="1">
      <c r="A854" s="4" t="s">
        <v>1169</v>
      </c>
      <c r="B854" s="5">
        <v>45923.0</v>
      </c>
      <c r="C854" s="4" t="s">
        <v>72</v>
      </c>
      <c r="D854" s="4" t="s">
        <v>24</v>
      </c>
      <c r="E854" s="4" t="s">
        <v>20</v>
      </c>
      <c r="F854" s="4" t="s">
        <v>107</v>
      </c>
      <c r="G854" s="4">
        <v>6.0</v>
      </c>
      <c r="H854" s="6">
        <v>13139.0</v>
      </c>
      <c r="I854" s="6">
        <v>78834.0</v>
      </c>
      <c r="J854" s="6">
        <v>63149.33</v>
      </c>
      <c r="K854" s="6">
        <v>15684.67</v>
      </c>
      <c r="L854" s="4" t="str">
        <f t="shared" si="1"/>
        <v>Sep-2025</v>
      </c>
    </row>
    <row r="855" ht="15.75" customHeight="1">
      <c r="A855" s="4" t="s">
        <v>1170</v>
      </c>
      <c r="B855" s="5">
        <v>45923.0</v>
      </c>
      <c r="C855" s="4" t="s">
        <v>35</v>
      </c>
      <c r="D855" s="4" t="s">
        <v>14</v>
      </c>
      <c r="E855" s="4" t="s">
        <v>29</v>
      </c>
      <c r="F855" s="4" t="s">
        <v>954</v>
      </c>
      <c r="G855" s="4">
        <v>7.0</v>
      </c>
      <c r="H855" s="6">
        <v>1159.07</v>
      </c>
      <c r="I855" s="6">
        <v>8113.49</v>
      </c>
      <c r="J855" s="6">
        <v>5552.61</v>
      </c>
      <c r="K855" s="6">
        <v>2560.88</v>
      </c>
      <c r="L855" s="4" t="str">
        <f t="shared" si="1"/>
        <v>Sep-2025</v>
      </c>
    </row>
    <row r="856" ht="15.75" customHeight="1">
      <c r="A856" s="4" t="s">
        <v>1171</v>
      </c>
      <c r="B856" s="5">
        <v>45923.0</v>
      </c>
      <c r="C856" s="4" t="s">
        <v>180</v>
      </c>
      <c r="D856" s="4" t="s">
        <v>19</v>
      </c>
      <c r="E856" s="4" t="s">
        <v>15</v>
      </c>
      <c r="F856" s="4" t="s">
        <v>90</v>
      </c>
      <c r="G856" s="4">
        <v>3.0</v>
      </c>
      <c r="H856" s="6">
        <v>38605.56</v>
      </c>
      <c r="I856" s="6">
        <v>115816.68</v>
      </c>
      <c r="J856" s="6">
        <v>98966.52</v>
      </c>
      <c r="K856" s="6">
        <v>16850.16</v>
      </c>
      <c r="L856" s="4" t="str">
        <f t="shared" si="1"/>
        <v>Sep-2025</v>
      </c>
    </row>
    <row r="857" ht="15.75" customHeight="1">
      <c r="A857" s="4" t="s">
        <v>1172</v>
      </c>
      <c r="B857" s="5">
        <v>45923.0</v>
      </c>
      <c r="C857" s="4" t="s">
        <v>109</v>
      </c>
      <c r="D857" s="4" t="s">
        <v>42</v>
      </c>
      <c r="E857" s="4" t="s">
        <v>29</v>
      </c>
      <c r="F857" s="4" t="s">
        <v>338</v>
      </c>
      <c r="G857" s="4">
        <v>6.0</v>
      </c>
      <c r="H857" s="6">
        <v>2583.9</v>
      </c>
      <c r="I857" s="6">
        <v>15503.4</v>
      </c>
      <c r="J857" s="6">
        <v>11640.2</v>
      </c>
      <c r="K857" s="6">
        <v>3863.2</v>
      </c>
      <c r="L857" s="4" t="str">
        <f t="shared" si="1"/>
        <v>Sep-2025</v>
      </c>
    </row>
    <row r="858" ht="15.75" customHeight="1">
      <c r="A858" s="4" t="s">
        <v>1173</v>
      </c>
      <c r="B858" s="5">
        <v>45923.0</v>
      </c>
      <c r="C858" s="4" t="s">
        <v>18</v>
      </c>
      <c r="D858" s="4" t="s">
        <v>19</v>
      </c>
      <c r="E858" s="4" t="s">
        <v>29</v>
      </c>
      <c r="F858" s="4" t="s">
        <v>1174</v>
      </c>
      <c r="G858" s="4">
        <v>4.0</v>
      </c>
      <c r="H858" s="6">
        <v>35995.74</v>
      </c>
      <c r="I858" s="6">
        <v>143982.96</v>
      </c>
      <c r="J858" s="6">
        <v>130495.39</v>
      </c>
      <c r="K858" s="6">
        <v>13487.57</v>
      </c>
      <c r="L858" s="4" t="str">
        <f t="shared" si="1"/>
        <v>Sep-2025</v>
      </c>
    </row>
    <row r="859" ht="15.75" customHeight="1">
      <c r="A859" s="4" t="s">
        <v>1175</v>
      </c>
      <c r="B859" s="5">
        <v>45923.0</v>
      </c>
      <c r="C859" s="4" t="s">
        <v>38</v>
      </c>
      <c r="D859" s="4" t="s">
        <v>19</v>
      </c>
      <c r="E859" s="4" t="s">
        <v>20</v>
      </c>
      <c r="F859" s="4" t="s">
        <v>359</v>
      </c>
      <c r="G859" s="4">
        <v>6.0</v>
      </c>
      <c r="H859" s="6">
        <v>74619.08</v>
      </c>
      <c r="I859" s="6">
        <v>447714.48</v>
      </c>
      <c r="J859" s="6">
        <v>408793.02</v>
      </c>
      <c r="K859" s="6">
        <v>38921.46</v>
      </c>
      <c r="L859" s="4" t="str">
        <f t="shared" si="1"/>
        <v>Sep-2025</v>
      </c>
    </row>
    <row r="860" ht="15.75" customHeight="1">
      <c r="A860" s="4" t="s">
        <v>1176</v>
      </c>
      <c r="B860" s="5">
        <v>45924.0</v>
      </c>
      <c r="C860" s="4" t="s">
        <v>160</v>
      </c>
      <c r="D860" s="4" t="s">
        <v>42</v>
      </c>
      <c r="E860" s="4" t="s">
        <v>25</v>
      </c>
      <c r="F860" s="4" t="s">
        <v>297</v>
      </c>
      <c r="G860" s="4">
        <v>1.0</v>
      </c>
      <c r="H860" s="6">
        <v>1361.82</v>
      </c>
      <c r="I860" s="6">
        <v>1361.82</v>
      </c>
      <c r="J860" s="6">
        <v>1099.37</v>
      </c>
      <c r="K860" s="6">
        <v>262.45</v>
      </c>
      <c r="L860" s="4" t="str">
        <f t="shared" si="1"/>
        <v>Sep-2025</v>
      </c>
    </row>
    <row r="861" ht="15.75" customHeight="1">
      <c r="A861" s="4" t="s">
        <v>1177</v>
      </c>
      <c r="B861" s="5">
        <v>45924.0</v>
      </c>
      <c r="C861" s="4" t="s">
        <v>32</v>
      </c>
      <c r="D861" s="4" t="s">
        <v>19</v>
      </c>
      <c r="E861" s="4" t="s">
        <v>25</v>
      </c>
      <c r="F861" s="4" t="s">
        <v>976</v>
      </c>
      <c r="G861" s="4">
        <v>1.0</v>
      </c>
      <c r="H861" s="6">
        <v>72114.98</v>
      </c>
      <c r="I861" s="6">
        <v>72114.98</v>
      </c>
      <c r="J861" s="6">
        <v>60916.42</v>
      </c>
      <c r="K861" s="6">
        <v>11198.56</v>
      </c>
      <c r="L861" s="4" t="str">
        <f t="shared" si="1"/>
        <v>Sep-2025</v>
      </c>
    </row>
    <row r="862" ht="15.75" customHeight="1">
      <c r="A862" s="4" t="s">
        <v>1178</v>
      </c>
      <c r="B862" s="5">
        <v>45924.0</v>
      </c>
      <c r="C862" s="4" t="s">
        <v>47</v>
      </c>
      <c r="D862" s="4" t="s">
        <v>14</v>
      </c>
      <c r="E862" s="4" t="s">
        <v>15</v>
      </c>
      <c r="F862" s="4" t="s">
        <v>114</v>
      </c>
      <c r="G862" s="4">
        <v>6.0</v>
      </c>
      <c r="H862" s="6">
        <v>862.3</v>
      </c>
      <c r="I862" s="6">
        <v>5173.8</v>
      </c>
      <c r="J862" s="6">
        <v>3866.39</v>
      </c>
      <c r="K862" s="6">
        <v>1307.41</v>
      </c>
      <c r="L862" s="4" t="str">
        <f t="shared" si="1"/>
        <v>Sep-2025</v>
      </c>
    </row>
    <row r="863" ht="15.75" customHeight="1">
      <c r="A863" s="4" t="s">
        <v>1179</v>
      </c>
      <c r="B863" s="5">
        <v>45924.0</v>
      </c>
      <c r="C863" s="4" t="s">
        <v>180</v>
      </c>
      <c r="D863" s="4" t="s">
        <v>19</v>
      </c>
      <c r="E863" s="4" t="s">
        <v>15</v>
      </c>
      <c r="F863" s="4" t="s">
        <v>396</v>
      </c>
      <c r="G863" s="4">
        <v>3.0</v>
      </c>
      <c r="H863" s="6">
        <v>2233.43</v>
      </c>
      <c r="I863" s="6">
        <v>6700.29</v>
      </c>
      <c r="J863" s="6">
        <v>5760.63</v>
      </c>
      <c r="K863" s="6">
        <v>939.66</v>
      </c>
      <c r="L863" s="4" t="str">
        <f t="shared" si="1"/>
        <v>Sep-2025</v>
      </c>
    </row>
    <row r="864" ht="15.75" customHeight="1">
      <c r="A864" s="4" t="s">
        <v>1180</v>
      </c>
      <c r="B864" s="5">
        <v>45924.0</v>
      </c>
      <c r="C864" s="4" t="s">
        <v>35</v>
      </c>
      <c r="D864" s="4" t="s">
        <v>14</v>
      </c>
      <c r="E864" s="4" t="s">
        <v>25</v>
      </c>
      <c r="F864" s="4" t="s">
        <v>86</v>
      </c>
      <c r="G864" s="4">
        <v>7.0</v>
      </c>
      <c r="H864" s="6">
        <v>1311.46</v>
      </c>
      <c r="I864" s="6">
        <v>9180.22</v>
      </c>
      <c r="J864" s="6">
        <v>7608.39</v>
      </c>
      <c r="K864" s="6">
        <v>1571.83</v>
      </c>
      <c r="L864" s="4" t="str">
        <f t="shared" si="1"/>
        <v>Sep-2025</v>
      </c>
    </row>
    <row r="865" ht="15.75" customHeight="1">
      <c r="A865" s="4" t="s">
        <v>1181</v>
      </c>
      <c r="B865" s="5">
        <v>45925.0</v>
      </c>
      <c r="C865" s="4" t="s">
        <v>180</v>
      </c>
      <c r="D865" s="4" t="s">
        <v>19</v>
      </c>
      <c r="E865" s="4" t="s">
        <v>25</v>
      </c>
      <c r="F865" s="4" t="s">
        <v>1106</v>
      </c>
      <c r="G865" s="4">
        <v>4.0</v>
      </c>
      <c r="H865" s="6">
        <v>57046.6</v>
      </c>
      <c r="I865" s="6">
        <v>228186.4</v>
      </c>
      <c r="J865" s="6">
        <v>189120.74</v>
      </c>
      <c r="K865" s="6">
        <v>39065.66</v>
      </c>
      <c r="L865" s="4" t="str">
        <f t="shared" si="1"/>
        <v>Sep-2025</v>
      </c>
    </row>
    <row r="866" ht="15.75" customHeight="1">
      <c r="A866" s="4" t="s">
        <v>1182</v>
      </c>
      <c r="B866" s="5">
        <v>45925.0</v>
      </c>
      <c r="C866" s="4" t="s">
        <v>75</v>
      </c>
      <c r="D866" s="4" t="s">
        <v>24</v>
      </c>
      <c r="E866" s="4" t="s">
        <v>29</v>
      </c>
      <c r="F866" s="4" t="s">
        <v>962</v>
      </c>
      <c r="G866" s="4">
        <v>3.0</v>
      </c>
      <c r="H866" s="6">
        <v>5577.38</v>
      </c>
      <c r="I866" s="6">
        <v>16732.14</v>
      </c>
      <c r="J866" s="6">
        <v>14585.91</v>
      </c>
      <c r="K866" s="6">
        <v>2146.23</v>
      </c>
      <c r="L866" s="4" t="str">
        <f t="shared" si="1"/>
        <v>Sep-2025</v>
      </c>
    </row>
    <row r="867" ht="15.75" customHeight="1">
      <c r="A867" s="4" t="s">
        <v>1183</v>
      </c>
      <c r="B867" s="5">
        <v>45925.0</v>
      </c>
      <c r="C867" s="4" t="s">
        <v>109</v>
      </c>
      <c r="D867" s="4" t="s">
        <v>42</v>
      </c>
      <c r="E867" s="4" t="s">
        <v>20</v>
      </c>
      <c r="F867" s="4" t="s">
        <v>628</v>
      </c>
      <c r="G867" s="4">
        <v>3.0</v>
      </c>
      <c r="H867" s="6">
        <v>1866.98</v>
      </c>
      <c r="I867" s="6">
        <v>5600.94</v>
      </c>
      <c r="J867" s="6">
        <v>4699.66</v>
      </c>
      <c r="K867" s="6">
        <v>901.28</v>
      </c>
      <c r="L867" s="4" t="str">
        <f t="shared" si="1"/>
        <v>Sep-2025</v>
      </c>
    </row>
    <row r="868" ht="15.75" customHeight="1">
      <c r="A868" s="4" t="s">
        <v>1184</v>
      </c>
      <c r="B868" s="5">
        <v>45925.0</v>
      </c>
      <c r="C868" s="4" t="s">
        <v>140</v>
      </c>
      <c r="D868" s="4" t="s">
        <v>14</v>
      </c>
      <c r="E868" s="4" t="s">
        <v>25</v>
      </c>
      <c r="F868" s="4" t="s">
        <v>135</v>
      </c>
      <c r="G868" s="4">
        <v>1.0</v>
      </c>
      <c r="H868" s="6">
        <v>1239.93</v>
      </c>
      <c r="I868" s="6">
        <v>1239.93</v>
      </c>
      <c r="J868" s="6">
        <v>939.63</v>
      </c>
      <c r="K868" s="6">
        <v>300.3</v>
      </c>
      <c r="L868" s="4" t="str">
        <f t="shared" si="1"/>
        <v>Sep-2025</v>
      </c>
    </row>
    <row r="869" ht="15.75" customHeight="1">
      <c r="A869" s="4" t="s">
        <v>1185</v>
      </c>
      <c r="B869" s="5">
        <v>45926.0</v>
      </c>
      <c r="C869" s="4" t="s">
        <v>32</v>
      </c>
      <c r="D869" s="4" t="s">
        <v>19</v>
      </c>
      <c r="E869" s="4" t="s">
        <v>15</v>
      </c>
      <c r="F869" s="4" t="s">
        <v>121</v>
      </c>
      <c r="G869" s="4">
        <v>7.0</v>
      </c>
      <c r="H869" s="6">
        <v>62552.06</v>
      </c>
      <c r="I869" s="6">
        <v>437864.42</v>
      </c>
      <c r="J869" s="6">
        <v>387880.78</v>
      </c>
      <c r="K869" s="6">
        <v>49983.64</v>
      </c>
      <c r="L869" s="4" t="str">
        <f t="shared" si="1"/>
        <v>Sep-2025</v>
      </c>
    </row>
    <row r="870" ht="15.75" customHeight="1">
      <c r="A870" s="4" t="s">
        <v>1186</v>
      </c>
      <c r="B870" s="5">
        <v>45927.0</v>
      </c>
      <c r="C870" s="4" t="s">
        <v>23</v>
      </c>
      <c r="D870" s="4" t="s">
        <v>24</v>
      </c>
      <c r="E870" s="4" t="s">
        <v>25</v>
      </c>
      <c r="F870" s="4" t="s">
        <v>384</v>
      </c>
      <c r="G870" s="4">
        <v>3.0</v>
      </c>
      <c r="H870" s="6">
        <v>10620.37</v>
      </c>
      <c r="I870" s="6">
        <v>31861.11</v>
      </c>
      <c r="J870" s="6">
        <v>25747.48</v>
      </c>
      <c r="K870" s="6">
        <v>6113.63</v>
      </c>
      <c r="L870" s="4" t="str">
        <f t="shared" si="1"/>
        <v>Sep-2025</v>
      </c>
    </row>
    <row r="871" ht="15.75" customHeight="1">
      <c r="A871" s="4" t="s">
        <v>1187</v>
      </c>
      <c r="B871" s="5">
        <v>45928.0</v>
      </c>
      <c r="C871" s="4" t="s">
        <v>35</v>
      </c>
      <c r="D871" s="4" t="s">
        <v>14</v>
      </c>
      <c r="E871" s="4" t="s">
        <v>20</v>
      </c>
      <c r="F871" s="4" t="s">
        <v>516</v>
      </c>
      <c r="G871" s="4">
        <v>7.0</v>
      </c>
      <c r="H871" s="6">
        <v>1268.16</v>
      </c>
      <c r="I871" s="6">
        <v>8877.12</v>
      </c>
      <c r="J871" s="6">
        <v>6984.97</v>
      </c>
      <c r="K871" s="6">
        <v>1892.15</v>
      </c>
      <c r="L871" s="4" t="str">
        <f t="shared" si="1"/>
        <v>Sep-2025</v>
      </c>
    </row>
    <row r="872" ht="15.75" customHeight="1">
      <c r="A872" s="4" t="s">
        <v>1188</v>
      </c>
      <c r="B872" s="5">
        <v>45928.0</v>
      </c>
      <c r="C872" s="4" t="s">
        <v>69</v>
      </c>
      <c r="D872" s="4" t="s">
        <v>19</v>
      </c>
      <c r="E872" s="4" t="s">
        <v>25</v>
      </c>
      <c r="F872" s="4" t="s">
        <v>765</v>
      </c>
      <c r="G872" s="4">
        <v>4.0</v>
      </c>
      <c r="H872" s="6">
        <v>59726.87</v>
      </c>
      <c r="I872" s="6">
        <v>238907.48</v>
      </c>
      <c r="J872" s="6">
        <v>213990.36</v>
      </c>
      <c r="K872" s="6">
        <v>24917.12</v>
      </c>
      <c r="L872" s="4" t="str">
        <f t="shared" si="1"/>
        <v>Sep-2025</v>
      </c>
    </row>
    <row r="873" ht="15.75" customHeight="1">
      <c r="A873" s="4" t="s">
        <v>1189</v>
      </c>
      <c r="B873" s="5">
        <v>45928.0</v>
      </c>
      <c r="C873" s="4" t="s">
        <v>180</v>
      </c>
      <c r="D873" s="4" t="s">
        <v>19</v>
      </c>
      <c r="E873" s="4" t="s">
        <v>25</v>
      </c>
      <c r="F873" s="4" t="s">
        <v>279</v>
      </c>
      <c r="G873" s="4">
        <v>6.0</v>
      </c>
      <c r="H873" s="6">
        <v>20486.23</v>
      </c>
      <c r="I873" s="6">
        <v>122917.38</v>
      </c>
      <c r="J873" s="6">
        <v>110602.57</v>
      </c>
      <c r="K873" s="6">
        <v>12314.81</v>
      </c>
      <c r="L873" s="4" t="str">
        <f t="shared" si="1"/>
        <v>Sep-2025</v>
      </c>
    </row>
    <row r="874" ht="15.75" customHeight="1">
      <c r="A874" s="4" t="s">
        <v>1190</v>
      </c>
      <c r="B874" s="5">
        <v>45928.0</v>
      </c>
      <c r="C874" s="4" t="s">
        <v>155</v>
      </c>
      <c r="D874" s="4" t="s">
        <v>24</v>
      </c>
      <c r="E874" s="4" t="s">
        <v>25</v>
      </c>
      <c r="F874" s="4" t="s">
        <v>321</v>
      </c>
      <c r="G874" s="4">
        <v>7.0</v>
      </c>
      <c r="H874" s="6">
        <v>10458.67</v>
      </c>
      <c r="I874" s="6">
        <v>73210.69</v>
      </c>
      <c r="J874" s="6">
        <v>62810.1</v>
      </c>
      <c r="K874" s="6">
        <v>10400.59</v>
      </c>
      <c r="L874" s="4" t="str">
        <f t="shared" si="1"/>
        <v>Sep-2025</v>
      </c>
    </row>
    <row r="875" ht="15.75" customHeight="1">
      <c r="A875" s="4" t="s">
        <v>1191</v>
      </c>
      <c r="B875" s="5">
        <v>45928.0</v>
      </c>
      <c r="C875" s="4" t="s">
        <v>32</v>
      </c>
      <c r="D875" s="4" t="s">
        <v>19</v>
      </c>
      <c r="E875" s="4" t="s">
        <v>25</v>
      </c>
      <c r="F875" s="4" t="s">
        <v>330</v>
      </c>
      <c r="G875" s="4">
        <v>7.0</v>
      </c>
      <c r="H875" s="6">
        <v>61123.54</v>
      </c>
      <c r="I875" s="6">
        <v>427864.78</v>
      </c>
      <c r="J875" s="6">
        <v>356764.45</v>
      </c>
      <c r="K875" s="6">
        <v>71100.33</v>
      </c>
      <c r="L875" s="4" t="str">
        <f t="shared" si="1"/>
        <v>Sep-2025</v>
      </c>
    </row>
    <row r="876" ht="15.75" customHeight="1">
      <c r="A876" s="4" t="s">
        <v>1192</v>
      </c>
      <c r="B876" s="5">
        <v>45928.0</v>
      </c>
      <c r="C876" s="4" t="s">
        <v>18</v>
      </c>
      <c r="D876" s="4" t="s">
        <v>19</v>
      </c>
      <c r="E876" s="4" t="s">
        <v>15</v>
      </c>
      <c r="F876" s="4" t="s">
        <v>446</v>
      </c>
      <c r="G876" s="4">
        <v>7.0</v>
      </c>
      <c r="H876" s="6">
        <v>70817.62</v>
      </c>
      <c r="I876" s="6">
        <v>495723.34</v>
      </c>
      <c r="J876" s="6">
        <v>414813.35</v>
      </c>
      <c r="K876" s="6">
        <v>80909.99</v>
      </c>
      <c r="L876" s="4" t="str">
        <f t="shared" si="1"/>
        <v>Sep-2025</v>
      </c>
    </row>
    <row r="877" ht="15.75" customHeight="1">
      <c r="A877" s="4" t="s">
        <v>1193</v>
      </c>
      <c r="B877" s="5">
        <v>45928.0</v>
      </c>
      <c r="C877" s="4" t="s">
        <v>23</v>
      </c>
      <c r="D877" s="4" t="s">
        <v>24</v>
      </c>
      <c r="E877" s="4" t="s">
        <v>29</v>
      </c>
      <c r="F877" s="4" t="s">
        <v>795</v>
      </c>
      <c r="G877" s="4">
        <v>5.0</v>
      </c>
      <c r="H877" s="6">
        <v>11025.51</v>
      </c>
      <c r="I877" s="6">
        <v>55127.55</v>
      </c>
      <c r="J877" s="6">
        <v>47630.42</v>
      </c>
      <c r="K877" s="6">
        <v>7497.13</v>
      </c>
      <c r="L877" s="4" t="str">
        <f t="shared" si="1"/>
        <v>Sep-2025</v>
      </c>
    </row>
    <row r="878" ht="15.75" customHeight="1">
      <c r="A878" s="4" t="s">
        <v>1194</v>
      </c>
      <c r="B878" s="5">
        <v>45928.0</v>
      </c>
      <c r="C878" s="4" t="s">
        <v>35</v>
      </c>
      <c r="D878" s="4" t="s">
        <v>14</v>
      </c>
      <c r="E878" s="4" t="s">
        <v>29</v>
      </c>
      <c r="F878" s="4" t="s">
        <v>270</v>
      </c>
      <c r="G878" s="4">
        <v>1.0</v>
      </c>
      <c r="H878" s="6">
        <v>504.98</v>
      </c>
      <c r="I878" s="6">
        <v>504.98</v>
      </c>
      <c r="J878" s="6">
        <v>420.18</v>
      </c>
      <c r="K878" s="6">
        <v>84.8</v>
      </c>
      <c r="L878" s="4" t="str">
        <f t="shared" si="1"/>
        <v>Sep-2025</v>
      </c>
    </row>
    <row r="879" ht="15.75" customHeight="1">
      <c r="A879" s="4" t="s">
        <v>1195</v>
      </c>
      <c r="B879" s="5">
        <v>45929.0</v>
      </c>
      <c r="C879" s="4" t="s">
        <v>140</v>
      </c>
      <c r="D879" s="4" t="s">
        <v>14</v>
      </c>
      <c r="E879" s="4" t="s">
        <v>25</v>
      </c>
      <c r="F879" s="4" t="s">
        <v>105</v>
      </c>
      <c r="G879" s="4">
        <v>7.0</v>
      </c>
      <c r="H879" s="6">
        <v>681.73</v>
      </c>
      <c r="I879" s="6">
        <v>4772.11</v>
      </c>
      <c r="J879" s="6">
        <v>3597.09</v>
      </c>
      <c r="K879" s="6">
        <v>1175.02</v>
      </c>
      <c r="L879" s="4" t="str">
        <f t="shared" si="1"/>
        <v>Sep-2025</v>
      </c>
    </row>
    <row r="880" ht="15.75" customHeight="1">
      <c r="A880" s="4" t="s">
        <v>1196</v>
      </c>
      <c r="B880" s="5">
        <v>45930.0</v>
      </c>
      <c r="C880" s="4" t="s">
        <v>69</v>
      </c>
      <c r="D880" s="4" t="s">
        <v>19</v>
      </c>
      <c r="E880" s="4" t="s">
        <v>25</v>
      </c>
      <c r="F880" s="4" t="s">
        <v>227</v>
      </c>
      <c r="G880" s="4">
        <v>3.0</v>
      </c>
      <c r="H880" s="6">
        <v>41316.9</v>
      </c>
      <c r="I880" s="6">
        <v>123950.7</v>
      </c>
      <c r="J880" s="6">
        <v>105254.28</v>
      </c>
      <c r="K880" s="6">
        <v>18696.42</v>
      </c>
      <c r="L880" s="4" t="str">
        <f t="shared" si="1"/>
        <v>Sep-2025</v>
      </c>
    </row>
    <row r="881" ht="15.75" customHeight="1">
      <c r="A881" s="4" t="s">
        <v>1197</v>
      </c>
      <c r="B881" s="5">
        <v>45930.0</v>
      </c>
      <c r="C881" s="4" t="s">
        <v>102</v>
      </c>
      <c r="D881" s="4" t="s">
        <v>24</v>
      </c>
      <c r="E881" s="4" t="s">
        <v>29</v>
      </c>
      <c r="F881" s="4" t="s">
        <v>559</v>
      </c>
      <c r="G881" s="4">
        <v>6.0</v>
      </c>
      <c r="H881" s="6">
        <v>12303.58</v>
      </c>
      <c r="I881" s="6">
        <v>73821.48</v>
      </c>
      <c r="J881" s="6">
        <v>61684.96</v>
      </c>
      <c r="K881" s="6">
        <v>12136.52</v>
      </c>
      <c r="L881" s="4" t="str">
        <f t="shared" si="1"/>
        <v>Sep-2025</v>
      </c>
    </row>
    <row r="882" ht="15.75" customHeight="1">
      <c r="A882" s="4" t="s">
        <v>1198</v>
      </c>
      <c r="B882" s="5">
        <v>45930.0</v>
      </c>
      <c r="C882" s="4" t="s">
        <v>109</v>
      </c>
      <c r="D882" s="4" t="s">
        <v>42</v>
      </c>
      <c r="E882" s="4" t="s">
        <v>29</v>
      </c>
      <c r="F882" s="4" t="s">
        <v>197</v>
      </c>
      <c r="G882" s="4">
        <v>1.0</v>
      </c>
      <c r="H882" s="6">
        <v>4744.2</v>
      </c>
      <c r="I882" s="6">
        <v>4744.2</v>
      </c>
      <c r="J882" s="6">
        <v>4032.87</v>
      </c>
      <c r="K882" s="6">
        <v>711.33</v>
      </c>
      <c r="L882" s="4" t="str">
        <f t="shared" si="1"/>
        <v>Sep-2025</v>
      </c>
    </row>
    <row r="883" ht="15.75" customHeight="1">
      <c r="A883" s="4" t="s">
        <v>1199</v>
      </c>
      <c r="B883" s="5">
        <v>45930.0</v>
      </c>
      <c r="C883" s="4" t="s">
        <v>69</v>
      </c>
      <c r="D883" s="4" t="s">
        <v>19</v>
      </c>
      <c r="E883" s="4" t="s">
        <v>15</v>
      </c>
      <c r="F883" s="4" t="s">
        <v>171</v>
      </c>
      <c r="G883" s="4">
        <v>2.0</v>
      </c>
      <c r="H883" s="6">
        <v>16180.36</v>
      </c>
      <c r="I883" s="6">
        <v>32360.72</v>
      </c>
      <c r="J883" s="6">
        <v>28304.77</v>
      </c>
      <c r="K883" s="6">
        <v>4055.95</v>
      </c>
      <c r="L883" s="4" t="str">
        <f t="shared" si="1"/>
        <v>Sep-2025</v>
      </c>
    </row>
    <row r="884" ht="15.75" customHeight="1">
      <c r="A884" s="4" t="s">
        <v>1200</v>
      </c>
      <c r="B884" s="5">
        <v>45931.0</v>
      </c>
      <c r="C884" s="4" t="s">
        <v>28</v>
      </c>
      <c r="D884" s="4" t="s">
        <v>14</v>
      </c>
      <c r="E884" s="4" t="s">
        <v>25</v>
      </c>
      <c r="F884" s="4" t="s">
        <v>418</v>
      </c>
      <c r="G884" s="4">
        <v>3.0</v>
      </c>
      <c r="H884" s="6">
        <v>625.89</v>
      </c>
      <c r="I884" s="6">
        <v>1877.67</v>
      </c>
      <c r="J884" s="6">
        <v>1537.83</v>
      </c>
      <c r="K884" s="6">
        <v>339.84</v>
      </c>
      <c r="L884" s="4" t="str">
        <f t="shared" si="1"/>
        <v>Oct-2025</v>
      </c>
    </row>
    <row r="885" ht="15.75" customHeight="1">
      <c r="A885" s="4" t="s">
        <v>1201</v>
      </c>
      <c r="B885" s="5">
        <v>45932.0</v>
      </c>
      <c r="C885" s="4" t="s">
        <v>102</v>
      </c>
      <c r="D885" s="4" t="s">
        <v>24</v>
      </c>
      <c r="E885" s="4" t="s">
        <v>20</v>
      </c>
      <c r="F885" s="4" t="s">
        <v>90</v>
      </c>
      <c r="G885" s="4">
        <v>4.0</v>
      </c>
      <c r="H885" s="6">
        <v>7255.15</v>
      </c>
      <c r="I885" s="6">
        <v>29020.6</v>
      </c>
      <c r="J885" s="6">
        <v>23746.4</v>
      </c>
      <c r="K885" s="6">
        <v>5274.2</v>
      </c>
      <c r="L885" s="4" t="str">
        <f t="shared" si="1"/>
        <v>Oct-2025</v>
      </c>
    </row>
    <row r="886" ht="15.75" customHeight="1">
      <c r="A886" s="4" t="s">
        <v>1202</v>
      </c>
      <c r="B886" s="5">
        <v>45932.0</v>
      </c>
      <c r="C886" s="4" t="s">
        <v>28</v>
      </c>
      <c r="D886" s="4" t="s">
        <v>14</v>
      </c>
      <c r="E886" s="4" t="s">
        <v>20</v>
      </c>
      <c r="F886" s="4" t="s">
        <v>954</v>
      </c>
      <c r="G886" s="4">
        <v>5.0</v>
      </c>
      <c r="H886" s="6">
        <v>1217.88</v>
      </c>
      <c r="I886" s="6">
        <v>6089.4</v>
      </c>
      <c r="J886" s="6">
        <v>5021.49</v>
      </c>
      <c r="K886" s="6">
        <v>1067.91</v>
      </c>
      <c r="L886" s="4" t="str">
        <f t="shared" si="1"/>
        <v>Oct-2025</v>
      </c>
    </row>
    <row r="887" ht="15.75" customHeight="1">
      <c r="A887" s="4" t="s">
        <v>1203</v>
      </c>
      <c r="B887" s="5">
        <v>45933.0</v>
      </c>
      <c r="C887" s="4" t="s">
        <v>180</v>
      </c>
      <c r="D887" s="4" t="s">
        <v>19</v>
      </c>
      <c r="E887" s="4" t="s">
        <v>15</v>
      </c>
      <c r="F887" s="4" t="s">
        <v>673</v>
      </c>
      <c r="G887" s="4">
        <v>4.0</v>
      </c>
      <c r="H887" s="6">
        <v>53242.87</v>
      </c>
      <c r="I887" s="6">
        <v>212971.48</v>
      </c>
      <c r="J887" s="6">
        <v>191664.74</v>
      </c>
      <c r="K887" s="6">
        <v>21306.74</v>
      </c>
      <c r="L887" s="4" t="str">
        <f t="shared" si="1"/>
        <v>Oct-2025</v>
      </c>
    </row>
    <row r="888" ht="15.75" customHeight="1">
      <c r="A888" s="4" t="s">
        <v>1204</v>
      </c>
      <c r="B888" s="5">
        <v>45933.0</v>
      </c>
      <c r="C888" s="4" t="s">
        <v>38</v>
      </c>
      <c r="D888" s="4" t="s">
        <v>19</v>
      </c>
      <c r="E888" s="4" t="s">
        <v>20</v>
      </c>
      <c r="F888" s="4" t="s">
        <v>641</v>
      </c>
      <c r="G888" s="4">
        <v>2.0</v>
      </c>
      <c r="H888" s="6">
        <v>6351.73</v>
      </c>
      <c r="I888" s="6">
        <v>12703.46</v>
      </c>
      <c r="J888" s="6">
        <v>11018.79</v>
      </c>
      <c r="K888" s="6">
        <v>1684.67</v>
      </c>
      <c r="L888" s="4" t="str">
        <f t="shared" si="1"/>
        <v>Oct-2025</v>
      </c>
    </row>
    <row r="889" ht="15.75" customHeight="1">
      <c r="A889" s="4" t="s">
        <v>1205</v>
      </c>
      <c r="B889" s="5">
        <v>45933.0</v>
      </c>
      <c r="C889" s="4" t="s">
        <v>28</v>
      </c>
      <c r="D889" s="4" t="s">
        <v>14</v>
      </c>
      <c r="E889" s="4" t="s">
        <v>20</v>
      </c>
      <c r="F889" s="4" t="s">
        <v>158</v>
      </c>
      <c r="G889" s="4">
        <v>3.0</v>
      </c>
      <c r="H889" s="6">
        <v>703.34</v>
      </c>
      <c r="I889" s="6">
        <v>2110.02</v>
      </c>
      <c r="J889" s="6">
        <v>1656.1</v>
      </c>
      <c r="K889" s="6">
        <v>453.92</v>
      </c>
      <c r="L889" s="4" t="str">
        <f t="shared" si="1"/>
        <v>Oct-2025</v>
      </c>
    </row>
    <row r="890" ht="15.75" customHeight="1">
      <c r="A890" s="4" t="s">
        <v>1206</v>
      </c>
      <c r="B890" s="5">
        <v>45934.0</v>
      </c>
      <c r="C890" s="4" t="s">
        <v>50</v>
      </c>
      <c r="D890" s="4" t="s">
        <v>42</v>
      </c>
      <c r="E890" s="4" t="s">
        <v>29</v>
      </c>
      <c r="F890" s="4" t="s">
        <v>446</v>
      </c>
      <c r="G890" s="4">
        <v>7.0</v>
      </c>
      <c r="H890" s="6">
        <v>2491.94</v>
      </c>
      <c r="I890" s="6">
        <v>17443.58</v>
      </c>
      <c r="J890" s="6">
        <v>15025.05</v>
      </c>
      <c r="K890" s="6">
        <v>2418.53</v>
      </c>
      <c r="L890" s="4" t="str">
        <f t="shared" si="1"/>
        <v>Oct-2025</v>
      </c>
    </row>
    <row r="891" ht="15.75" customHeight="1">
      <c r="A891" s="4" t="s">
        <v>1207</v>
      </c>
      <c r="B891" s="5">
        <v>45934.0</v>
      </c>
      <c r="C891" s="4" t="s">
        <v>47</v>
      </c>
      <c r="D891" s="4" t="s">
        <v>14</v>
      </c>
      <c r="E891" s="4" t="s">
        <v>29</v>
      </c>
      <c r="F891" s="4" t="s">
        <v>16</v>
      </c>
      <c r="G891" s="4">
        <v>3.0</v>
      </c>
      <c r="H891" s="6">
        <v>1486.04</v>
      </c>
      <c r="I891" s="6">
        <v>4458.12</v>
      </c>
      <c r="J891" s="6">
        <v>3777.87</v>
      </c>
      <c r="K891" s="6">
        <v>680.25</v>
      </c>
      <c r="L891" s="4" t="str">
        <f t="shared" si="1"/>
        <v>Oct-2025</v>
      </c>
    </row>
    <row r="892" ht="15.75" customHeight="1">
      <c r="A892" s="4" t="s">
        <v>1208</v>
      </c>
      <c r="B892" s="5">
        <v>45935.0</v>
      </c>
      <c r="C892" s="4" t="s">
        <v>35</v>
      </c>
      <c r="D892" s="4" t="s">
        <v>14</v>
      </c>
      <c r="E892" s="4" t="s">
        <v>15</v>
      </c>
      <c r="F892" s="4" t="s">
        <v>954</v>
      </c>
      <c r="G892" s="4">
        <v>5.0</v>
      </c>
      <c r="H892" s="6">
        <v>275.69</v>
      </c>
      <c r="I892" s="6">
        <v>1378.45</v>
      </c>
      <c r="J892" s="6">
        <v>1145.81</v>
      </c>
      <c r="K892" s="6">
        <v>232.64</v>
      </c>
      <c r="L892" s="4" t="str">
        <f t="shared" si="1"/>
        <v>Oct-2025</v>
      </c>
    </row>
    <row r="893" ht="15.75" customHeight="1">
      <c r="A893" s="4" t="s">
        <v>1209</v>
      </c>
      <c r="B893" s="5">
        <v>45935.0</v>
      </c>
      <c r="C893" s="4" t="s">
        <v>32</v>
      </c>
      <c r="D893" s="4" t="s">
        <v>19</v>
      </c>
      <c r="E893" s="4" t="s">
        <v>15</v>
      </c>
      <c r="F893" s="4" t="s">
        <v>217</v>
      </c>
      <c r="G893" s="4">
        <v>5.0</v>
      </c>
      <c r="H893" s="6">
        <v>55962.04</v>
      </c>
      <c r="I893" s="6">
        <v>279810.2</v>
      </c>
      <c r="J893" s="6">
        <v>236878.12</v>
      </c>
      <c r="K893" s="6">
        <v>42932.08</v>
      </c>
      <c r="L893" s="4" t="str">
        <f t="shared" si="1"/>
        <v>Oct-2025</v>
      </c>
    </row>
    <row r="894" ht="15.75" customHeight="1">
      <c r="A894" s="4" t="s">
        <v>1210</v>
      </c>
      <c r="B894" s="5">
        <v>45935.0</v>
      </c>
      <c r="C894" s="4" t="s">
        <v>18</v>
      </c>
      <c r="D894" s="4" t="s">
        <v>19</v>
      </c>
      <c r="E894" s="4" t="s">
        <v>20</v>
      </c>
      <c r="F894" s="4" t="s">
        <v>566</v>
      </c>
      <c r="G894" s="4">
        <v>6.0</v>
      </c>
      <c r="H894" s="6">
        <v>12321.52</v>
      </c>
      <c r="I894" s="6">
        <v>73929.12</v>
      </c>
      <c r="J894" s="6">
        <v>61013.02</v>
      </c>
      <c r="K894" s="6">
        <v>12916.1</v>
      </c>
      <c r="L894" s="4" t="str">
        <f t="shared" si="1"/>
        <v>Oct-2025</v>
      </c>
    </row>
    <row r="895" ht="15.75" customHeight="1">
      <c r="A895" s="4" t="s">
        <v>1211</v>
      </c>
      <c r="B895" s="5">
        <v>45935.0</v>
      </c>
      <c r="C895" s="4" t="s">
        <v>28</v>
      </c>
      <c r="D895" s="4" t="s">
        <v>14</v>
      </c>
      <c r="E895" s="4" t="s">
        <v>25</v>
      </c>
      <c r="F895" s="4" t="s">
        <v>656</v>
      </c>
      <c r="G895" s="4">
        <v>3.0</v>
      </c>
      <c r="H895" s="6">
        <v>1102.16</v>
      </c>
      <c r="I895" s="6">
        <v>3306.48</v>
      </c>
      <c r="J895" s="6">
        <v>2334.3</v>
      </c>
      <c r="K895" s="6">
        <v>972.18</v>
      </c>
      <c r="L895" s="4" t="str">
        <f t="shared" si="1"/>
        <v>Oct-2025</v>
      </c>
    </row>
    <row r="896" ht="15.75" customHeight="1">
      <c r="A896" s="4" t="s">
        <v>1212</v>
      </c>
      <c r="B896" s="5">
        <v>45936.0</v>
      </c>
      <c r="C896" s="4" t="s">
        <v>61</v>
      </c>
      <c r="D896" s="4" t="s">
        <v>19</v>
      </c>
      <c r="E896" s="4" t="s">
        <v>29</v>
      </c>
      <c r="F896" s="4" t="s">
        <v>53</v>
      </c>
      <c r="G896" s="4">
        <v>6.0</v>
      </c>
      <c r="H896" s="6">
        <v>63543.84</v>
      </c>
      <c r="I896" s="6">
        <v>381263.04</v>
      </c>
      <c r="J896" s="6">
        <v>319079.37</v>
      </c>
      <c r="K896" s="6">
        <v>62183.67</v>
      </c>
      <c r="L896" s="4" t="str">
        <f t="shared" si="1"/>
        <v>Oct-2025</v>
      </c>
    </row>
    <row r="897" ht="15.75" customHeight="1">
      <c r="A897" s="4" t="s">
        <v>1213</v>
      </c>
      <c r="B897" s="5">
        <v>45936.0</v>
      </c>
      <c r="C897" s="4" t="s">
        <v>180</v>
      </c>
      <c r="D897" s="4" t="s">
        <v>19</v>
      </c>
      <c r="E897" s="4" t="s">
        <v>25</v>
      </c>
      <c r="F897" s="4" t="s">
        <v>450</v>
      </c>
      <c r="G897" s="4">
        <v>1.0</v>
      </c>
      <c r="H897" s="6">
        <v>27417.54</v>
      </c>
      <c r="I897" s="6">
        <v>27417.54</v>
      </c>
      <c r="J897" s="6">
        <v>23482.79</v>
      </c>
      <c r="K897" s="6">
        <v>3934.75</v>
      </c>
      <c r="L897" s="4" t="str">
        <f t="shared" si="1"/>
        <v>Oct-2025</v>
      </c>
    </row>
    <row r="898" ht="15.75" customHeight="1">
      <c r="A898" s="4" t="s">
        <v>1214</v>
      </c>
      <c r="B898" s="5">
        <v>45936.0</v>
      </c>
      <c r="C898" s="4" t="s">
        <v>23</v>
      </c>
      <c r="D898" s="4" t="s">
        <v>24</v>
      </c>
      <c r="E898" s="4" t="s">
        <v>25</v>
      </c>
      <c r="F898" s="4" t="s">
        <v>325</v>
      </c>
      <c r="G898" s="4">
        <v>2.0</v>
      </c>
      <c r="H898" s="6">
        <v>3159.04</v>
      </c>
      <c r="I898" s="6">
        <v>6318.08</v>
      </c>
      <c r="J898" s="6">
        <v>5504.63</v>
      </c>
      <c r="K898" s="6">
        <v>813.45</v>
      </c>
      <c r="L898" s="4" t="str">
        <f t="shared" si="1"/>
        <v>Oct-2025</v>
      </c>
    </row>
    <row r="899" ht="15.75" customHeight="1">
      <c r="A899" s="4" t="s">
        <v>1215</v>
      </c>
      <c r="B899" s="5">
        <v>45936.0</v>
      </c>
      <c r="C899" s="4" t="s">
        <v>32</v>
      </c>
      <c r="D899" s="4" t="s">
        <v>19</v>
      </c>
      <c r="E899" s="4" t="s">
        <v>29</v>
      </c>
      <c r="F899" s="4" t="s">
        <v>557</v>
      </c>
      <c r="G899" s="4">
        <v>2.0</v>
      </c>
      <c r="H899" s="6">
        <v>7730.87</v>
      </c>
      <c r="I899" s="6">
        <v>15461.74</v>
      </c>
      <c r="J899" s="6">
        <v>13406.43</v>
      </c>
      <c r="K899" s="6">
        <v>2055.31</v>
      </c>
      <c r="L899" s="4" t="str">
        <f t="shared" si="1"/>
        <v>Oct-2025</v>
      </c>
    </row>
    <row r="900" ht="15.75" customHeight="1">
      <c r="A900" s="4" t="s">
        <v>1216</v>
      </c>
      <c r="B900" s="5">
        <v>45937.0</v>
      </c>
      <c r="C900" s="4" t="s">
        <v>180</v>
      </c>
      <c r="D900" s="4" t="s">
        <v>19</v>
      </c>
      <c r="E900" s="4" t="s">
        <v>20</v>
      </c>
      <c r="F900" s="4" t="s">
        <v>891</v>
      </c>
      <c r="G900" s="4">
        <v>7.0</v>
      </c>
      <c r="H900" s="6">
        <v>962.06</v>
      </c>
      <c r="I900" s="6">
        <v>6734.42</v>
      </c>
      <c r="J900" s="6">
        <v>5679.54</v>
      </c>
      <c r="K900" s="6">
        <v>1054.88</v>
      </c>
      <c r="L900" s="4" t="str">
        <f t="shared" si="1"/>
        <v>Oct-2025</v>
      </c>
    </row>
    <row r="901" ht="15.75" customHeight="1">
      <c r="A901" s="4" t="s">
        <v>1217</v>
      </c>
      <c r="B901" s="5">
        <v>45937.0</v>
      </c>
      <c r="C901" s="4" t="s">
        <v>23</v>
      </c>
      <c r="D901" s="4" t="s">
        <v>24</v>
      </c>
      <c r="E901" s="4" t="s">
        <v>15</v>
      </c>
      <c r="F901" s="4" t="s">
        <v>334</v>
      </c>
      <c r="G901" s="4">
        <v>2.0</v>
      </c>
      <c r="H901" s="6">
        <v>16306.71</v>
      </c>
      <c r="I901" s="6">
        <v>32613.42</v>
      </c>
      <c r="J901" s="6">
        <v>23843.48</v>
      </c>
      <c r="K901" s="6">
        <v>8769.94</v>
      </c>
      <c r="L901" s="4" t="str">
        <f t="shared" si="1"/>
        <v>Oct-2025</v>
      </c>
    </row>
    <row r="902" ht="15.75" customHeight="1">
      <c r="A902" s="4" t="s">
        <v>1218</v>
      </c>
      <c r="B902" s="5">
        <v>45937.0</v>
      </c>
      <c r="C902" s="2" t="s">
        <v>258</v>
      </c>
      <c r="D902" s="4" t="s">
        <v>14</v>
      </c>
      <c r="E902" s="4" t="s">
        <v>29</v>
      </c>
      <c r="F902" s="4" t="s">
        <v>270</v>
      </c>
      <c r="G902" s="4">
        <v>4.0</v>
      </c>
      <c r="H902" s="6">
        <v>304.62</v>
      </c>
      <c r="I902" s="6">
        <v>1218.48</v>
      </c>
      <c r="J902" s="6">
        <v>961.59</v>
      </c>
      <c r="K902" s="6">
        <v>256.89</v>
      </c>
      <c r="L902" s="4" t="str">
        <f t="shared" si="1"/>
        <v>Oct-2025</v>
      </c>
    </row>
    <row r="903" ht="15.75" customHeight="1">
      <c r="A903" s="4" t="s">
        <v>1219</v>
      </c>
      <c r="B903" s="5">
        <v>45937.0</v>
      </c>
      <c r="C903" s="4" t="s">
        <v>92</v>
      </c>
      <c r="D903" s="4" t="s">
        <v>14</v>
      </c>
      <c r="E903" s="4" t="s">
        <v>25</v>
      </c>
      <c r="F903" s="4" t="s">
        <v>444</v>
      </c>
      <c r="G903" s="4">
        <v>4.0</v>
      </c>
      <c r="H903" s="6">
        <v>996.27</v>
      </c>
      <c r="I903" s="6">
        <v>3985.08</v>
      </c>
      <c r="J903" s="6">
        <v>3167.34</v>
      </c>
      <c r="K903" s="6">
        <v>817.74</v>
      </c>
      <c r="L903" s="4" t="str">
        <f t="shared" si="1"/>
        <v>Oct-2025</v>
      </c>
    </row>
    <row r="904" ht="15.75" customHeight="1">
      <c r="A904" s="4" t="s">
        <v>1220</v>
      </c>
      <c r="B904" s="5">
        <v>45937.0</v>
      </c>
      <c r="C904" s="4" t="s">
        <v>13</v>
      </c>
      <c r="D904" s="4" t="s">
        <v>14</v>
      </c>
      <c r="E904" s="4" t="s">
        <v>20</v>
      </c>
      <c r="F904" s="4" t="s">
        <v>673</v>
      </c>
      <c r="G904" s="4">
        <v>3.0</v>
      </c>
      <c r="H904" s="6">
        <v>924.67</v>
      </c>
      <c r="I904" s="6">
        <v>2774.01</v>
      </c>
      <c r="J904" s="6">
        <v>1993.55</v>
      </c>
      <c r="K904" s="6">
        <v>780.46</v>
      </c>
      <c r="L904" s="4" t="str">
        <f t="shared" si="1"/>
        <v>Oct-2025</v>
      </c>
    </row>
    <row r="905" ht="15.75" customHeight="1">
      <c r="A905" s="4" t="s">
        <v>1221</v>
      </c>
      <c r="B905" s="5">
        <v>45937.0</v>
      </c>
      <c r="C905" s="4" t="s">
        <v>155</v>
      </c>
      <c r="D905" s="4" t="s">
        <v>24</v>
      </c>
      <c r="E905" s="4" t="s">
        <v>25</v>
      </c>
      <c r="F905" s="4" t="s">
        <v>223</v>
      </c>
      <c r="G905" s="4">
        <v>6.0</v>
      </c>
      <c r="H905" s="6">
        <v>17963.93</v>
      </c>
      <c r="I905" s="6">
        <v>107783.58</v>
      </c>
      <c r="J905" s="6">
        <v>82360.37</v>
      </c>
      <c r="K905" s="6">
        <v>25423.21</v>
      </c>
      <c r="L905" s="4" t="str">
        <f t="shared" si="1"/>
        <v>Oct-2025</v>
      </c>
    </row>
    <row r="906" ht="15.75" customHeight="1">
      <c r="A906" s="4" t="s">
        <v>1222</v>
      </c>
      <c r="B906" s="5">
        <v>45937.0</v>
      </c>
      <c r="C906" s="4" t="s">
        <v>61</v>
      </c>
      <c r="D906" s="4" t="s">
        <v>19</v>
      </c>
      <c r="E906" s="4" t="s">
        <v>25</v>
      </c>
      <c r="F906" s="4" t="s">
        <v>705</v>
      </c>
      <c r="G906" s="4">
        <v>7.0</v>
      </c>
      <c r="H906" s="6">
        <v>35787.71</v>
      </c>
      <c r="I906" s="6">
        <v>250513.97</v>
      </c>
      <c r="J906" s="6">
        <v>214142.36</v>
      </c>
      <c r="K906" s="6">
        <v>36371.61</v>
      </c>
      <c r="L906" s="4" t="str">
        <f t="shared" si="1"/>
        <v>Oct-2025</v>
      </c>
    </row>
    <row r="907" ht="15.75" customHeight="1">
      <c r="A907" s="4" t="s">
        <v>1223</v>
      </c>
      <c r="B907" s="5">
        <v>45938.0</v>
      </c>
      <c r="C907" s="4" t="s">
        <v>32</v>
      </c>
      <c r="D907" s="4" t="s">
        <v>19</v>
      </c>
      <c r="E907" s="4" t="s">
        <v>29</v>
      </c>
      <c r="F907" s="4" t="s">
        <v>735</v>
      </c>
      <c r="G907" s="4">
        <v>2.0</v>
      </c>
      <c r="H907" s="6">
        <v>6691.97</v>
      </c>
      <c r="I907" s="6">
        <v>13383.94</v>
      </c>
      <c r="J907" s="6">
        <v>11138.39</v>
      </c>
      <c r="K907" s="6">
        <v>2245.55</v>
      </c>
      <c r="L907" s="4" t="str">
        <f t="shared" si="1"/>
        <v>Oct-2025</v>
      </c>
    </row>
    <row r="908" ht="15.75" customHeight="1">
      <c r="A908" s="4" t="s">
        <v>1224</v>
      </c>
      <c r="B908" s="5">
        <v>45938.0</v>
      </c>
      <c r="C908" s="4" t="s">
        <v>102</v>
      </c>
      <c r="D908" s="4" t="s">
        <v>24</v>
      </c>
      <c r="E908" s="4" t="s">
        <v>15</v>
      </c>
      <c r="F908" s="4" t="s">
        <v>1225</v>
      </c>
      <c r="G908" s="4">
        <v>7.0</v>
      </c>
      <c r="H908" s="6">
        <v>17044.18</v>
      </c>
      <c r="I908" s="6">
        <v>119309.26</v>
      </c>
      <c r="J908" s="6">
        <v>98464.8</v>
      </c>
      <c r="K908" s="6">
        <v>20844.46</v>
      </c>
      <c r="L908" s="4" t="str">
        <f t="shared" si="1"/>
        <v>Oct-2025</v>
      </c>
    </row>
    <row r="909" ht="15.75" customHeight="1">
      <c r="A909" s="4" t="s">
        <v>1226</v>
      </c>
      <c r="B909" s="5">
        <v>45938.0</v>
      </c>
      <c r="C909" s="4" t="s">
        <v>35</v>
      </c>
      <c r="D909" s="4" t="s">
        <v>14</v>
      </c>
      <c r="E909" s="4" t="s">
        <v>25</v>
      </c>
      <c r="F909" s="4" t="s">
        <v>478</v>
      </c>
      <c r="G909" s="4">
        <v>4.0</v>
      </c>
      <c r="H909" s="6">
        <v>345.13</v>
      </c>
      <c r="I909" s="6">
        <v>1380.52</v>
      </c>
      <c r="J909" s="6">
        <v>1071.65</v>
      </c>
      <c r="K909" s="6">
        <v>308.87</v>
      </c>
      <c r="L909" s="4" t="str">
        <f t="shared" si="1"/>
        <v>Oct-2025</v>
      </c>
    </row>
    <row r="910" ht="15.75" customHeight="1">
      <c r="A910" s="4" t="s">
        <v>1227</v>
      </c>
      <c r="B910" s="5">
        <v>45938.0</v>
      </c>
      <c r="C910" s="4" t="s">
        <v>18</v>
      </c>
      <c r="D910" s="4" t="s">
        <v>19</v>
      </c>
      <c r="E910" s="4" t="s">
        <v>25</v>
      </c>
      <c r="F910" s="4" t="s">
        <v>643</v>
      </c>
      <c r="G910" s="4">
        <v>3.0</v>
      </c>
      <c r="H910" s="6">
        <v>64526.05</v>
      </c>
      <c r="I910" s="6">
        <v>193578.15</v>
      </c>
      <c r="J910" s="6">
        <v>163483.57</v>
      </c>
      <c r="K910" s="6">
        <v>30094.58</v>
      </c>
      <c r="L910" s="4" t="str">
        <f t="shared" si="1"/>
        <v>Oct-2025</v>
      </c>
    </row>
    <row r="911" ht="15.75" customHeight="1">
      <c r="A911" s="4" t="s">
        <v>1228</v>
      </c>
      <c r="B911" s="5">
        <v>45939.0</v>
      </c>
      <c r="C911" s="4" t="s">
        <v>180</v>
      </c>
      <c r="D911" s="4" t="s">
        <v>19</v>
      </c>
      <c r="E911" s="4" t="s">
        <v>25</v>
      </c>
      <c r="F911" s="4" t="s">
        <v>359</v>
      </c>
      <c r="G911" s="4">
        <v>3.0</v>
      </c>
      <c r="H911" s="6">
        <v>74193.1</v>
      </c>
      <c r="I911" s="6">
        <v>222579.3</v>
      </c>
      <c r="J911" s="6">
        <v>197693.67</v>
      </c>
      <c r="K911" s="6">
        <v>24885.63</v>
      </c>
      <c r="L911" s="4" t="str">
        <f t="shared" si="1"/>
        <v>Oct-2025</v>
      </c>
    </row>
    <row r="912" ht="15.75" customHeight="1">
      <c r="A912" s="4" t="s">
        <v>1229</v>
      </c>
      <c r="B912" s="5">
        <v>45939.0</v>
      </c>
      <c r="C912" s="4" t="s">
        <v>69</v>
      </c>
      <c r="D912" s="4" t="s">
        <v>19</v>
      </c>
      <c r="E912" s="4" t="s">
        <v>29</v>
      </c>
      <c r="F912" s="4" t="s">
        <v>256</v>
      </c>
      <c r="G912" s="4">
        <v>6.0</v>
      </c>
      <c r="H912" s="6">
        <v>47826.4</v>
      </c>
      <c r="I912" s="6">
        <v>286958.4</v>
      </c>
      <c r="J912" s="6">
        <v>233694.4</v>
      </c>
      <c r="K912" s="6">
        <v>53264.0</v>
      </c>
      <c r="L912" s="4" t="str">
        <f t="shared" si="1"/>
        <v>Oct-2025</v>
      </c>
    </row>
    <row r="913" ht="15.75" customHeight="1">
      <c r="A913" s="4" t="s">
        <v>1230</v>
      </c>
      <c r="B913" s="5">
        <v>45939.0</v>
      </c>
      <c r="C913" s="4" t="s">
        <v>140</v>
      </c>
      <c r="D913" s="4" t="s">
        <v>14</v>
      </c>
      <c r="E913" s="4" t="s">
        <v>25</v>
      </c>
      <c r="F913" s="4" t="s">
        <v>561</v>
      </c>
      <c r="G913" s="4">
        <v>4.0</v>
      </c>
      <c r="H913" s="6">
        <v>890.95</v>
      </c>
      <c r="I913" s="6">
        <v>3563.8</v>
      </c>
      <c r="J913" s="6">
        <v>2721.83</v>
      </c>
      <c r="K913" s="6">
        <v>841.97</v>
      </c>
      <c r="L913" s="4" t="str">
        <f t="shared" si="1"/>
        <v>Oct-2025</v>
      </c>
    </row>
    <row r="914" ht="15.75" customHeight="1">
      <c r="A914" s="4" t="s">
        <v>1231</v>
      </c>
      <c r="B914" s="5">
        <v>45939.0</v>
      </c>
      <c r="C914" s="4" t="s">
        <v>102</v>
      </c>
      <c r="D914" s="4" t="s">
        <v>24</v>
      </c>
      <c r="E914" s="4" t="s">
        <v>20</v>
      </c>
      <c r="F914" s="4" t="s">
        <v>186</v>
      </c>
      <c r="G914" s="4">
        <v>7.0</v>
      </c>
      <c r="H914" s="6">
        <v>4587.33</v>
      </c>
      <c r="I914" s="6">
        <v>32111.31</v>
      </c>
      <c r="J914" s="6">
        <v>27802.97</v>
      </c>
      <c r="K914" s="6">
        <v>4308.34</v>
      </c>
      <c r="L914" s="4" t="str">
        <f t="shared" si="1"/>
        <v>Oct-2025</v>
      </c>
    </row>
    <row r="915" ht="15.75" customHeight="1">
      <c r="A915" s="4" t="s">
        <v>1232</v>
      </c>
      <c r="B915" s="5">
        <v>45939.0</v>
      </c>
      <c r="C915" s="4" t="s">
        <v>180</v>
      </c>
      <c r="D915" s="4" t="s">
        <v>19</v>
      </c>
      <c r="E915" s="4" t="s">
        <v>25</v>
      </c>
      <c r="F915" s="4" t="s">
        <v>346</v>
      </c>
      <c r="G915" s="4">
        <v>3.0</v>
      </c>
      <c r="H915" s="6">
        <v>51031.68</v>
      </c>
      <c r="I915" s="6">
        <v>153095.04</v>
      </c>
      <c r="J915" s="6">
        <v>131712.42</v>
      </c>
      <c r="K915" s="6">
        <v>21382.62</v>
      </c>
      <c r="L915" s="4" t="str">
        <f t="shared" si="1"/>
        <v>Oct-2025</v>
      </c>
    </row>
    <row r="916" ht="15.75" customHeight="1">
      <c r="A916" s="4" t="s">
        <v>1233</v>
      </c>
      <c r="B916" s="5">
        <v>45939.0</v>
      </c>
      <c r="C916" s="4" t="s">
        <v>23</v>
      </c>
      <c r="D916" s="4" t="s">
        <v>24</v>
      </c>
      <c r="E916" s="4" t="s">
        <v>29</v>
      </c>
      <c r="F916" s="4" t="s">
        <v>197</v>
      </c>
      <c r="G916" s="4">
        <v>2.0</v>
      </c>
      <c r="H916" s="6">
        <v>8989.85</v>
      </c>
      <c r="I916" s="6">
        <v>17979.7</v>
      </c>
      <c r="J916" s="6">
        <v>14840.45</v>
      </c>
      <c r="K916" s="6">
        <v>3139.25</v>
      </c>
      <c r="L916" s="4" t="str">
        <f t="shared" si="1"/>
        <v>Oct-2025</v>
      </c>
    </row>
    <row r="917" ht="15.75" customHeight="1">
      <c r="A917" s="4" t="s">
        <v>1234</v>
      </c>
      <c r="B917" s="5">
        <v>45939.0</v>
      </c>
      <c r="C917" s="4" t="s">
        <v>38</v>
      </c>
      <c r="D917" s="4" t="s">
        <v>19</v>
      </c>
      <c r="E917" s="4" t="s">
        <v>20</v>
      </c>
      <c r="F917" s="4" t="s">
        <v>481</v>
      </c>
      <c r="G917" s="4">
        <v>3.0</v>
      </c>
      <c r="H917" s="6">
        <v>22221.08</v>
      </c>
      <c r="I917" s="6">
        <v>66663.24</v>
      </c>
      <c r="J917" s="6">
        <v>58484.95</v>
      </c>
      <c r="K917" s="6">
        <v>8178.29</v>
      </c>
      <c r="L917" s="4" t="str">
        <f t="shared" si="1"/>
        <v>Oct-2025</v>
      </c>
    </row>
    <row r="918" ht="15.75" customHeight="1">
      <c r="A918" s="4" t="s">
        <v>1235</v>
      </c>
      <c r="B918" s="5">
        <v>45940.0</v>
      </c>
      <c r="C918" s="4" t="s">
        <v>155</v>
      </c>
      <c r="D918" s="4" t="s">
        <v>24</v>
      </c>
      <c r="E918" s="4" t="s">
        <v>15</v>
      </c>
      <c r="F918" s="4" t="s">
        <v>448</v>
      </c>
      <c r="G918" s="4">
        <v>1.0</v>
      </c>
      <c r="H918" s="6">
        <v>8808.39</v>
      </c>
      <c r="I918" s="6">
        <v>8808.39</v>
      </c>
      <c r="J918" s="6">
        <v>7366.06</v>
      </c>
      <c r="K918" s="6">
        <v>1442.33</v>
      </c>
      <c r="L918" s="4" t="str">
        <f t="shared" si="1"/>
        <v>Oct-2025</v>
      </c>
    </row>
    <row r="919" ht="15.75" customHeight="1">
      <c r="A919" s="4" t="s">
        <v>1236</v>
      </c>
      <c r="B919" s="5">
        <v>45940.0</v>
      </c>
      <c r="C919" s="4" t="s">
        <v>18</v>
      </c>
      <c r="D919" s="4" t="s">
        <v>19</v>
      </c>
      <c r="E919" s="4" t="s">
        <v>15</v>
      </c>
      <c r="F919" s="4" t="s">
        <v>497</v>
      </c>
      <c r="G919" s="4">
        <v>5.0</v>
      </c>
      <c r="H919" s="6">
        <v>38888.8</v>
      </c>
      <c r="I919" s="6">
        <v>194444.0</v>
      </c>
      <c r="J919" s="6">
        <v>173446.5</v>
      </c>
      <c r="K919" s="6">
        <v>20997.5</v>
      </c>
      <c r="L919" s="4" t="str">
        <f t="shared" si="1"/>
        <v>Oct-2025</v>
      </c>
    </row>
    <row r="920" ht="15.75" customHeight="1">
      <c r="A920" s="4" t="s">
        <v>1237</v>
      </c>
      <c r="B920" s="5">
        <v>45940.0</v>
      </c>
      <c r="C920" s="4" t="s">
        <v>69</v>
      </c>
      <c r="D920" s="4" t="s">
        <v>19</v>
      </c>
      <c r="E920" s="4" t="s">
        <v>29</v>
      </c>
      <c r="F920" s="4" t="s">
        <v>962</v>
      </c>
      <c r="G920" s="4">
        <v>7.0</v>
      </c>
      <c r="H920" s="6">
        <v>23303.81</v>
      </c>
      <c r="I920" s="6">
        <v>163126.67</v>
      </c>
      <c r="J920" s="6">
        <v>131821.59</v>
      </c>
      <c r="K920" s="6">
        <v>31305.08</v>
      </c>
      <c r="L920" s="4" t="str">
        <f t="shared" si="1"/>
        <v>Oct-2025</v>
      </c>
    </row>
    <row r="921" ht="15.75" customHeight="1">
      <c r="A921" s="4" t="s">
        <v>1238</v>
      </c>
      <c r="B921" s="5">
        <v>45940.0</v>
      </c>
      <c r="C921" s="4" t="s">
        <v>35</v>
      </c>
      <c r="D921" s="4" t="s">
        <v>14</v>
      </c>
      <c r="E921" s="4" t="s">
        <v>20</v>
      </c>
      <c r="F921" s="4" t="s">
        <v>735</v>
      </c>
      <c r="G921" s="4">
        <v>7.0</v>
      </c>
      <c r="H921" s="6">
        <v>720.47</v>
      </c>
      <c r="I921" s="6">
        <v>5043.29</v>
      </c>
      <c r="J921" s="6">
        <v>3671.97</v>
      </c>
      <c r="K921" s="6">
        <v>1371.32</v>
      </c>
      <c r="L921" s="4" t="str">
        <f t="shared" si="1"/>
        <v>Oct-2025</v>
      </c>
    </row>
    <row r="922" ht="15.75" customHeight="1">
      <c r="A922" s="4" t="s">
        <v>1239</v>
      </c>
      <c r="B922" s="5">
        <v>45940.0</v>
      </c>
      <c r="C922" s="4" t="s">
        <v>32</v>
      </c>
      <c r="D922" s="4" t="s">
        <v>19</v>
      </c>
      <c r="E922" s="4" t="s">
        <v>15</v>
      </c>
      <c r="F922" s="4" t="s">
        <v>309</v>
      </c>
      <c r="G922" s="4">
        <v>2.0</v>
      </c>
      <c r="H922" s="6">
        <v>57945.74</v>
      </c>
      <c r="I922" s="6">
        <v>115891.48</v>
      </c>
      <c r="J922" s="6">
        <v>95395.07</v>
      </c>
      <c r="K922" s="6">
        <v>20496.41</v>
      </c>
      <c r="L922" s="4" t="str">
        <f t="shared" si="1"/>
        <v>Oct-2025</v>
      </c>
    </row>
    <row r="923" ht="15.75" customHeight="1">
      <c r="A923" s="4" t="s">
        <v>1240</v>
      </c>
      <c r="B923" s="5">
        <v>45940.0</v>
      </c>
      <c r="C923" s="4" t="s">
        <v>61</v>
      </c>
      <c r="D923" s="4" t="s">
        <v>19</v>
      </c>
      <c r="E923" s="4" t="s">
        <v>25</v>
      </c>
      <c r="F923" s="4" t="s">
        <v>195</v>
      </c>
      <c r="G923" s="4">
        <v>4.0</v>
      </c>
      <c r="H923" s="6">
        <v>26960.61</v>
      </c>
      <c r="I923" s="6">
        <v>107842.44</v>
      </c>
      <c r="J923" s="6">
        <v>95270.84</v>
      </c>
      <c r="K923" s="6">
        <v>12571.6</v>
      </c>
      <c r="L923" s="4" t="str">
        <f t="shared" si="1"/>
        <v>Oct-2025</v>
      </c>
    </row>
    <row r="924" ht="15.75" customHeight="1">
      <c r="A924" s="4" t="s">
        <v>1241</v>
      </c>
      <c r="B924" s="5">
        <v>45940.0</v>
      </c>
      <c r="C924" s="4" t="s">
        <v>155</v>
      </c>
      <c r="D924" s="4" t="s">
        <v>24</v>
      </c>
      <c r="E924" s="4" t="s">
        <v>29</v>
      </c>
      <c r="F924" s="4" t="s">
        <v>891</v>
      </c>
      <c r="G924" s="4">
        <v>1.0</v>
      </c>
      <c r="H924" s="6">
        <v>5051.18</v>
      </c>
      <c r="I924" s="6">
        <v>5051.18</v>
      </c>
      <c r="J924" s="6">
        <v>3823.15</v>
      </c>
      <c r="K924" s="6">
        <v>1228.03</v>
      </c>
      <c r="L924" s="4" t="str">
        <f t="shared" si="1"/>
        <v>Oct-2025</v>
      </c>
    </row>
    <row r="925" ht="15.75" customHeight="1">
      <c r="A925" s="4" t="s">
        <v>1242</v>
      </c>
      <c r="B925" s="5">
        <v>45940.0</v>
      </c>
      <c r="C925" s="4" t="s">
        <v>61</v>
      </c>
      <c r="D925" s="4" t="s">
        <v>19</v>
      </c>
      <c r="E925" s="4" t="s">
        <v>25</v>
      </c>
      <c r="F925" s="4" t="s">
        <v>1243</v>
      </c>
      <c r="G925" s="4">
        <v>5.0</v>
      </c>
      <c r="H925" s="6">
        <v>57694.21</v>
      </c>
      <c r="I925" s="6">
        <v>288471.05</v>
      </c>
      <c r="J925" s="6">
        <v>253255.33</v>
      </c>
      <c r="K925" s="6">
        <v>35215.72</v>
      </c>
      <c r="L925" s="4" t="str">
        <f t="shared" si="1"/>
        <v>Oct-2025</v>
      </c>
    </row>
    <row r="926" ht="15.75" customHeight="1">
      <c r="A926" s="4" t="s">
        <v>1244</v>
      </c>
      <c r="B926" s="5">
        <v>45941.0</v>
      </c>
      <c r="C926" s="4" t="s">
        <v>35</v>
      </c>
      <c r="D926" s="4" t="s">
        <v>14</v>
      </c>
      <c r="E926" s="4" t="s">
        <v>29</v>
      </c>
      <c r="F926" s="4" t="s">
        <v>266</v>
      </c>
      <c r="G926" s="4">
        <v>7.0</v>
      </c>
      <c r="H926" s="6">
        <v>288.19</v>
      </c>
      <c r="I926" s="6">
        <v>2017.33</v>
      </c>
      <c r="J926" s="6">
        <v>1487.01</v>
      </c>
      <c r="K926" s="6">
        <v>530.32</v>
      </c>
      <c r="L926" s="4" t="str">
        <f t="shared" si="1"/>
        <v>Oct-2025</v>
      </c>
    </row>
    <row r="927" ht="15.75" customHeight="1">
      <c r="A927" s="4" t="s">
        <v>1245</v>
      </c>
      <c r="B927" s="5">
        <v>45941.0</v>
      </c>
      <c r="C927" s="4" t="s">
        <v>47</v>
      </c>
      <c r="D927" s="4" t="s">
        <v>14</v>
      </c>
      <c r="E927" s="4" t="s">
        <v>29</v>
      </c>
      <c r="F927" s="4" t="s">
        <v>1030</v>
      </c>
      <c r="G927" s="4">
        <v>4.0</v>
      </c>
      <c r="H927" s="6">
        <v>653.94</v>
      </c>
      <c r="I927" s="6">
        <v>2615.76</v>
      </c>
      <c r="J927" s="6">
        <v>2169.11</v>
      </c>
      <c r="K927" s="6">
        <v>446.65</v>
      </c>
      <c r="L927" s="4" t="str">
        <f t="shared" si="1"/>
        <v>Oct-2025</v>
      </c>
    </row>
    <row r="928" ht="15.75" customHeight="1">
      <c r="A928" s="4" t="s">
        <v>1246</v>
      </c>
      <c r="B928" s="5">
        <v>45941.0</v>
      </c>
      <c r="C928" s="4" t="s">
        <v>72</v>
      </c>
      <c r="D928" s="4" t="s">
        <v>24</v>
      </c>
      <c r="E928" s="4" t="s">
        <v>29</v>
      </c>
      <c r="F928" s="4" t="s">
        <v>59</v>
      </c>
      <c r="G928" s="4">
        <v>7.0</v>
      </c>
      <c r="H928" s="6">
        <v>10258.49</v>
      </c>
      <c r="I928" s="6">
        <v>71809.43</v>
      </c>
      <c r="J928" s="6">
        <v>59243.78</v>
      </c>
      <c r="K928" s="6">
        <v>12565.65</v>
      </c>
      <c r="L928" s="4" t="str">
        <f t="shared" si="1"/>
        <v>Oct-2025</v>
      </c>
    </row>
    <row r="929" ht="15.75" customHeight="1">
      <c r="A929" s="4" t="s">
        <v>1247</v>
      </c>
      <c r="B929" s="5">
        <v>45941.0</v>
      </c>
      <c r="C929" s="4" t="s">
        <v>13</v>
      </c>
      <c r="D929" s="4" t="s">
        <v>14</v>
      </c>
      <c r="E929" s="4" t="s">
        <v>15</v>
      </c>
      <c r="F929" s="4" t="s">
        <v>444</v>
      </c>
      <c r="G929" s="4">
        <v>5.0</v>
      </c>
      <c r="H929" s="6">
        <v>895.24</v>
      </c>
      <c r="I929" s="6">
        <v>4476.2</v>
      </c>
      <c r="J929" s="6">
        <v>3076.09</v>
      </c>
      <c r="K929" s="6">
        <v>1400.11</v>
      </c>
      <c r="L929" s="4" t="str">
        <f t="shared" si="1"/>
        <v>Oct-2025</v>
      </c>
    </row>
    <row r="930" ht="15.75" customHeight="1">
      <c r="A930" s="4" t="s">
        <v>1248</v>
      </c>
      <c r="B930" s="5">
        <v>45942.0</v>
      </c>
      <c r="C930" s="4" t="s">
        <v>109</v>
      </c>
      <c r="D930" s="4" t="s">
        <v>42</v>
      </c>
      <c r="E930" s="4" t="s">
        <v>25</v>
      </c>
      <c r="F930" s="4" t="s">
        <v>343</v>
      </c>
      <c r="G930" s="4">
        <v>1.0</v>
      </c>
      <c r="H930" s="6">
        <v>3993.96</v>
      </c>
      <c r="I930" s="6">
        <v>3993.96</v>
      </c>
      <c r="J930" s="6">
        <v>3396.5</v>
      </c>
      <c r="K930" s="6">
        <v>597.46</v>
      </c>
      <c r="L930" s="4" t="str">
        <f t="shared" si="1"/>
        <v>Oct-2025</v>
      </c>
    </row>
    <row r="931" ht="15.75" customHeight="1">
      <c r="A931" s="4" t="s">
        <v>1249</v>
      </c>
      <c r="B931" s="5">
        <v>45942.0</v>
      </c>
      <c r="C931" s="4" t="s">
        <v>75</v>
      </c>
      <c r="D931" s="4" t="s">
        <v>24</v>
      </c>
      <c r="E931" s="4" t="s">
        <v>25</v>
      </c>
      <c r="F931" s="4" t="s">
        <v>1250</v>
      </c>
      <c r="G931" s="4">
        <v>2.0</v>
      </c>
      <c r="H931" s="6">
        <v>4675.65</v>
      </c>
      <c r="I931" s="6">
        <v>9351.3</v>
      </c>
      <c r="J931" s="6">
        <v>7285.7</v>
      </c>
      <c r="K931" s="6">
        <v>2065.6</v>
      </c>
      <c r="L931" s="4" t="str">
        <f t="shared" si="1"/>
        <v>Oct-2025</v>
      </c>
    </row>
    <row r="932" ht="15.75" customHeight="1">
      <c r="A932" s="4" t="s">
        <v>1251</v>
      </c>
      <c r="B932" s="5">
        <v>45942.0</v>
      </c>
      <c r="C932" s="4" t="s">
        <v>140</v>
      </c>
      <c r="D932" s="4" t="s">
        <v>14</v>
      </c>
      <c r="E932" s="4" t="s">
        <v>25</v>
      </c>
      <c r="F932" s="4" t="s">
        <v>507</v>
      </c>
      <c r="G932" s="4">
        <v>5.0</v>
      </c>
      <c r="H932" s="6">
        <v>427.92</v>
      </c>
      <c r="I932" s="6">
        <v>2139.6</v>
      </c>
      <c r="J932" s="6">
        <v>1616.9</v>
      </c>
      <c r="K932" s="6">
        <v>522.7</v>
      </c>
      <c r="L932" s="4" t="str">
        <f t="shared" si="1"/>
        <v>Oct-2025</v>
      </c>
    </row>
    <row r="933" ht="15.75" customHeight="1">
      <c r="A933" s="4" t="s">
        <v>1252</v>
      </c>
      <c r="B933" s="5">
        <v>45943.0</v>
      </c>
      <c r="C933" s="4" t="s">
        <v>47</v>
      </c>
      <c r="D933" s="4" t="s">
        <v>14</v>
      </c>
      <c r="E933" s="4" t="s">
        <v>25</v>
      </c>
      <c r="F933" s="4" t="s">
        <v>446</v>
      </c>
      <c r="G933" s="4">
        <v>6.0</v>
      </c>
      <c r="H933" s="6">
        <v>129.8</v>
      </c>
      <c r="I933" s="6">
        <v>778.8</v>
      </c>
      <c r="J933" s="6">
        <v>593.13</v>
      </c>
      <c r="K933" s="6">
        <v>185.67</v>
      </c>
      <c r="L933" s="4" t="str">
        <f t="shared" si="1"/>
        <v>Oct-2025</v>
      </c>
    </row>
    <row r="934" ht="15.75" customHeight="1">
      <c r="A934" s="4" t="s">
        <v>1253</v>
      </c>
      <c r="B934" s="5">
        <v>45943.0</v>
      </c>
      <c r="C934" s="4" t="s">
        <v>140</v>
      </c>
      <c r="D934" s="4" t="s">
        <v>14</v>
      </c>
      <c r="E934" s="4" t="s">
        <v>29</v>
      </c>
      <c r="F934" s="4" t="s">
        <v>638</v>
      </c>
      <c r="G934" s="4">
        <v>7.0</v>
      </c>
      <c r="H934" s="6">
        <v>536.23</v>
      </c>
      <c r="I934" s="6">
        <v>3753.61</v>
      </c>
      <c r="J934" s="6">
        <v>2650.91</v>
      </c>
      <c r="K934" s="6">
        <v>1102.7</v>
      </c>
      <c r="L934" s="4" t="str">
        <f t="shared" si="1"/>
        <v>Oct-2025</v>
      </c>
    </row>
    <row r="935" ht="15.75" customHeight="1">
      <c r="A935" s="4" t="s">
        <v>1254</v>
      </c>
      <c r="B935" s="5">
        <v>45944.0</v>
      </c>
      <c r="C935" s="4" t="s">
        <v>23</v>
      </c>
      <c r="D935" s="4" t="s">
        <v>24</v>
      </c>
      <c r="E935" s="4" t="s">
        <v>15</v>
      </c>
      <c r="F935" s="4" t="s">
        <v>248</v>
      </c>
      <c r="G935" s="4">
        <v>6.0</v>
      </c>
      <c r="H935" s="6">
        <v>6384.86</v>
      </c>
      <c r="I935" s="6">
        <v>38309.16</v>
      </c>
      <c r="J935" s="6">
        <v>30780.44</v>
      </c>
      <c r="K935" s="6">
        <v>7528.72</v>
      </c>
      <c r="L935" s="4" t="str">
        <f t="shared" si="1"/>
        <v>Oct-2025</v>
      </c>
    </row>
    <row r="936" ht="15.75" customHeight="1">
      <c r="A936" s="4" t="s">
        <v>1255</v>
      </c>
      <c r="B936" s="5">
        <v>45944.0</v>
      </c>
      <c r="C936" s="4" t="s">
        <v>155</v>
      </c>
      <c r="D936" s="4" t="s">
        <v>24</v>
      </c>
      <c r="E936" s="4" t="s">
        <v>29</v>
      </c>
      <c r="F936" s="4" t="s">
        <v>67</v>
      </c>
      <c r="G936" s="4">
        <v>7.0</v>
      </c>
      <c r="H936" s="6">
        <v>9518.26</v>
      </c>
      <c r="I936" s="6">
        <v>66627.82</v>
      </c>
      <c r="J936" s="6">
        <v>57019.94</v>
      </c>
      <c r="K936" s="6">
        <v>9607.88</v>
      </c>
      <c r="L936" s="4" t="str">
        <f t="shared" si="1"/>
        <v>Oct-2025</v>
      </c>
    </row>
    <row r="937" ht="15.75" customHeight="1">
      <c r="A937" s="4" t="s">
        <v>1256</v>
      </c>
      <c r="B937" s="5">
        <v>45944.0</v>
      </c>
      <c r="C937" s="4" t="s">
        <v>92</v>
      </c>
      <c r="D937" s="4" t="s">
        <v>14</v>
      </c>
      <c r="E937" s="4" t="s">
        <v>29</v>
      </c>
      <c r="F937" s="4" t="s">
        <v>418</v>
      </c>
      <c r="G937" s="4">
        <v>3.0</v>
      </c>
      <c r="H937" s="6">
        <v>440.08</v>
      </c>
      <c r="I937" s="6">
        <v>1320.24</v>
      </c>
      <c r="J937" s="6">
        <v>981.16</v>
      </c>
      <c r="K937" s="6">
        <v>339.08</v>
      </c>
      <c r="L937" s="4" t="str">
        <f t="shared" si="1"/>
        <v>Oct-2025</v>
      </c>
    </row>
    <row r="938" ht="15.75" customHeight="1">
      <c r="A938" s="4" t="s">
        <v>1257</v>
      </c>
      <c r="B938" s="5">
        <v>45944.0</v>
      </c>
      <c r="C938" s="4" t="s">
        <v>160</v>
      </c>
      <c r="D938" s="4" t="s">
        <v>42</v>
      </c>
      <c r="E938" s="4" t="s">
        <v>25</v>
      </c>
      <c r="F938" s="4" t="s">
        <v>741</v>
      </c>
      <c r="G938" s="4">
        <v>4.0</v>
      </c>
      <c r="H938" s="6">
        <v>4237.26</v>
      </c>
      <c r="I938" s="6">
        <v>16949.04</v>
      </c>
      <c r="J938" s="6">
        <v>12949.1</v>
      </c>
      <c r="K938" s="6">
        <v>3999.94</v>
      </c>
      <c r="L938" s="4" t="str">
        <f t="shared" si="1"/>
        <v>Oct-2025</v>
      </c>
    </row>
    <row r="939" ht="15.75" customHeight="1">
      <c r="A939" s="4" t="s">
        <v>1258</v>
      </c>
      <c r="B939" s="5">
        <v>45945.0</v>
      </c>
      <c r="C939" s="4" t="s">
        <v>38</v>
      </c>
      <c r="D939" s="4" t="s">
        <v>19</v>
      </c>
      <c r="E939" s="4" t="s">
        <v>25</v>
      </c>
      <c r="F939" s="4" t="s">
        <v>286</v>
      </c>
      <c r="G939" s="4">
        <v>2.0</v>
      </c>
      <c r="H939" s="6">
        <v>13508.49</v>
      </c>
      <c r="I939" s="6">
        <v>27016.98</v>
      </c>
      <c r="J939" s="6">
        <v>22451.2</v>
      </c>
      <c r="K939" s="6">
        <v>4565.78</v>
      </c>
      <c r="L939" s="4" t="str">
        <f t="shared" si="1"/>
        <v>Oct-2025</v>
      </c>
    </row>
    <row r="940" ht="15.75" customHeight="1">
      <c r="A940" s="4" t="s">
        <v>1259</v>
      </c>
      <c r="B940" s="5">
        <v>45946.0</v>
      </c>
      <c r="C940" s="4" t="s">
        <v>140</v>
      </c>
      <c r="D940" s="4" t="s">
        <v>14</v>
      </c>
      <c r="E940" s="4" t="s">
        <v>15</v>
      </c>
      <c r="F940" s="4" t="s">
        <v>1260</v>
      </c>
      <c r="G940" s="4">
        <v>7.0</v>
      </c>
      <c r="H940" s="6">
        <v>881.07</v>
      </c>
      <c r="I940" s="6">
        <v>6167.49</v>
      </c>
      <c r="J940" s="6">
        <v>4501.12</v>
      </c>
      <c r="K940" s="6">
        <v>1666.37</v>
      </c>
      <c r="L940" s="4" t="str">
        <f t="shared" si="1"/>
        <v>Oct-2025</v>
      </c>
    </row>
    <row r="941" ht="15.75" customHeight="1">
      <c r="A941" s="4" t="s">
        <v>1261</v>
      </c>
      <c r="B941" s="5">
        <v>45947.0</v>
      </c>
      <c r="C941" s="4" t="s">
        <v>23</v>
      </c>
      <c r="D941" s="4" t="s">
        <v>24</v>
      </c>
      <c r="E941" s="4" t="s">
        <v>15</v>
      </c>
      <c r="F941" s="4" t="s">
        <v>386</v>
      </c>
      <c r="G941" s="4">
        <v>2.0</v>
      </c>
      <c r="H941" s="6">
        <v>9355.03</v>
      </c>
      <c r="I941" s="6">
        <v>18710.06</v>
      </c>
      <c r="J941" s="6">
        <v>15958.32</v>
      </c>
      <c r="K941" s="6">
        <v>2751.74</v>
      </c>
      <c r="L941" s="4" t="str">
        <f t="shared" si="1"/>
        <v>Oct-2025</v>
      </c>
    </row>
    <row r="942" ht="15.75" customHeight="1">
      <c r="A942" s="4" t="s">
        <v>1262</v>
      </c>
      <c r="B942" s="5">
        <v>45947.0</v>
      </c>
      <c r="C942" s="4" t="s">
        <v>160</v>
      </c>
      <c r="D942" s="4" t="s">
        <v>42</v>
      </c>
      <c r="E942" s="4" t="s">
        <v>20</v>
      </c>
      <c r="F942" s="4" t="s">
        <v>386</v>
      </c>
      <c r="G942" s="4">
        <v>6.0</v>
      </c>
      <c r="H942" s="6">
        <v>947.24</v>
      </c>
      <c r="I942" s="6">
        <v>5683.44</v>
      </c>
      <c r="J942" s="6">
        <v>4600.08</v>
      </c>
      <c r="K942" s="6">
        <v>1083.36</v>
      </c>
      <c r="L942" s="4" t="str">
        <f t="shared" si="1"/>
        <v>Oct-2025</v>
      </c>
    </row>
    <row r="943" ht="15.75" customHeight="1">
      <c r="A943" s="4" t="s">
        <v>1263</v>
      </c>
      <c r="B943" s="5">
        <v>45947.0</v>
      </c>
      <c r="C943" s="4" t="s">
        <v>38</v>
      </c>
      <c r="D943" s="4" t="s">
        <v>19</v>
      </c>
      <c r="E943" s="4" t="s">
        <v>25</v>
      </c>
      <c r="F943" s="4" t="s">
        <v>141</v>
      </c>
      <c r="G943" s="4">
        <v>6.0</v>
      </c>
      <c r="H943" s="6">
        <v>64093.61</v>
      </c>
      <c r="I943" s="6">
        <v>384561.66</v>
      </c>
      <c r="J943" s="6">
        <v>316605.24</v>
      </c>
      <c r="K943" s="6">
        <v>67956.42</v>
      </c>
      <c r="L943" s="4" t="str">
        <f t="shared" si="1"/>
        <v>Oct-2025</v>
      </c>
    </row>
    <row r="944" ht="15.75" customHeight="1">
      <c r="A944" s="4" t="s">
        <v>1264</v>
      </c>
      <c r="B944" s="5">
        <v>45948.0</v>
      </c>
      <c r="C944" s="4" t="s">
        <v>180</v>
      </c>
      <c r="D944" s="4" t="s">
        <v>19</v>
      </c>
      <c r="E944" s="4" t="s">
        <v>29</v>
      </c>
      <c r="F944" s="4" t="s">
        <v>270</v>
      </c>
      <c r="G944" s="4">
        <v>4.0</v>
      </c>
      <c r="H944" s="6">
        <v>60383.05</v>
      </c>
      <c r="I944" s="6">
        <v>241532.2</v>
      </c>
      <c r="J944" s="6">
        <v>201452.87</v>
      </c>
      <c r="K944" s="6">
        <v>40079.33</v>
      </c>
      <c r="L944" s="4" t="str">
        <f t="shared" si="1"/>
        <v>Oct-2025</v>
      </c>
    </row>
    <row r="945" ht="15.75" customHeight="1">
      <c r="A945" s="4" t="s">
        <v>1265</v>
      </c>
      <c r="B945" s="5">
        <v>45948.0</v>
      </c>
      <c r="C945" s="4" t="s">
        <v>92</v>
      </c>
      <c r="D945" s="4" t="s">
        <v>14</v>
      </c>
      <c r="E945" s="4" t="s">
        <v>15</v>
      </c>
      <c r="F945" s="4" t="s">
        <v>16</v>
      </c>
      <c r="G945" s="4">
        <v>7.0</v>
      </c>
      <c r="H945" s="6">
        <v>1163.42</v>
      </c>
      <c r="I945" s="6">
        <v>8143.94</v>
      </c>
      <c r="J945" s="6">
        <v>6627.92</v>
      </c>
      <c r="K945" s="6">
        <v>1516.02</v>
      </c>
      <c r="L945" s="4" t="str">
        <f t="shared" si="1"/>
        <v>Oct-2025</v>
      </c>
    </row>
    <row r="946" ht="15.75" customHeight="1">
      <c r="A946" s="4" t="s">
        <v>1266</v>
      </c>
      <c r="B946" s="5">
        <v>45948.0</v>
      </c>
      <c r="C946" s="4" t="s">
        <v>13</v>
      </c>
      <c r="D946" s="4" t="s">
        <v>14</v>
      </c>
      <c r="E946" s="4" t="s">
        <v>29</v>
      </c>
      <c r="F946" s="4" t="s">
        <v>229</v>
      </c>
      <c r="G946" s="4">
        <v>6.0</v>
      </c>
      <c r="H946" s="6">
        <v>533.68</v>
      </c>
      <c r="I946" s="6">
        <v>3202.08</v>
      </c>
      <c r="J946" s="6">
        <v>2198.28</v>
      </c>
      <c r="K946" s="6">
        <v>1003.8</v>
      </c>
      <c r="L946" s="4" t="str">
        <f t="shared" si="1"/>
        <v>Oct-2025</v>
      </c>
    </row>
    <row r="947" ht="15.75" customHeight="1">
      <c r="A947" s="4" t="s">
        <v>1267</v>
      </c>
      <c r="B947" s="5">
        <v>45949.0</v>
      </c>
      <c r="C947" s="4" t="s">
        <v>72</v>
      </c>
      <c r="D947" s="4" t="s">
        <v>24</v>
      </c>
      <c r="E947" s="4" t="s">
        <v>29</v>
      </c>
      <c r="F947" s="4" t="s">
        <v>705</v>
      </c>
      <c r="G947" s="4">
        <v>5.0</v>
      </c>
      <c r="H947" s="6">
        <v>11640.37</v>
      </c>
      <c r="I947" s="6">
        <v>58201.85</v>
      </c>
      <c r="J947" s="6">
        <v>46804.33</v>
      </c>
      <c r="K947" s="6">
        <v>11397.52</v>
      </c>
      <c r="L947" s="4" t="str">
        <f t="shared" si="1"/>
        <v>Oct-2025</v>
      </c>
    </row>
    <row r="948" ht="15.75" customHeight="1">
      <c r="A948" s="4" t="s">
        <v>1268</v>
      </c>
      <c r="B948" s="5">
        <v>45950.0</v>
      </c>
      <c r="C948" s="4" t="s">
        <v>140</v>
      </c>
      <c r="D948" s="4" t="s">
        <v>14</v>
      </c>
      <c r="E948" s="4" t="s">
        <v>20</v>
      </c>
      <c r="F948" s="4" t="s">
        <v>641</v>
      </c>
      <c r="G948" s="4">
        <v>3.0</v>
      </c>
      <c r="H948" s="6">
        <v>334.91</v>
      </c>
      <c r="I948" s="6">
        <v>1004.73</v>
      </c>
      <c r="J948" s="6">
        <v>799.01</v>
      </c>
      <c r="K948" s="6">
        <v>205.72</v>
      </c>
      <c r="L948" s="4" t="str">
        <f t="shared" si="1"/>
        <v>Oct-2025</v>
      </c>
    </row>
    <row r="949" ht="15.75" customHeight="1">
      <c r="A949" s="4" t="s">
        <v>1269</v>
      </c>
      <c r="B949" s="5">
        <v>45951.0</v>
      </c>
      <c r="C949" s="4" t="s">
        <v>28</v>
      </c>
      <c r="D949" s="4" t="s">
        <v>14</v>
      </c>
      <c r="E949" s="4" t="s">
        <v>25</v>
      </c>
      <c r="F949" s="4" t="s">
        <v>1114</v>
      </c>
      <c r="G949" s="4">
        <v>5.0</v>
      </c>
      <c r="H949" s="6">
        <v>1021.04</v>
      </c>
      <c r="I949" s="6">
        <v>5105.2</v>
      </c>
      <c r="J949" s="6">
        <v>3853.86</v>
      </c>
      <c r="K949" s="6">
        <v>1251.34</v>
      </c>
      <c r="L949" s="4" t="str">
        <f t="shared" si="1"/>
        <v>Oct-2025</v>
      </c>
    </row>
    <row r="950" ht="15.75" customHeight="1">
      <c r="A950" s="4" t="s">
        <v>1270</v>
      </c>
      <c r="B950" s="5">
        <v>45951.0</v>
      </c>
      <c r="C950" s="4" t="s">
        <v>109</v>
      </c>
      <c r="D950" s="4" t="s">
        <v>42</v>
      </c>
      <c r="E950" s="4" t="s">
        <v>25</v>
      </c>
      <c r="F950" s="4" t="s">
        <v>382</v>
      </c>
      <c r="G950" s="4">
        <v>4.0</v>
      </c>
      <c r="H950" s="6">
        <v>2801.02</v>
      </c>
      <c r="I950" s="6">
        <v>11204.08</v>
      </c>
      <c r="J950" s="6">
        <v>8461.83</v>
      </c>
      <c r="K950" s="6">
        <v>2742.25</v>
      </c>
      <c r="L950" s="4" t="str">
        <f t="shared" si="1"/>
        <v>Oct-2025</v>
      </c>
    </row>
    <row r="951" ht="15.75" customHeight="1">
      <c r="A951" s="4" t="s">
        <v>1271</v>
      </c>
      <c r="B951" s="5">
        <v>45951.0</v>
      </c>
      <c r="C951" s="4" t="s">
        <v>102</v>
      </c>
      <c r="D951" s="4" t="s">
        <v>24</v>
      </c>
      <c r="E951" s="4" t="s">
        <v>20</v>
      </c>
      <c r="F951" s="4" t="s">
        <v>543</v>
      </c>
      <c r="G951" s="4">
        <v>6.0</v>
      </c>
      <c r="H951" s="6">
        <v>6027.19</v>
      </c>
      <c r="I951" s="6">
        <v>36163.14</v>
      </c>
      <c r="J951" s="6">
        <v>30655.62</v>
      </c>
      <c r="K951" s="6">
        <v>5507.52</v>
      </c>
      <c r="L951" s="4" t="str">
        <f t="shared" si="1"/>
        <v>Oct-2025</v>
      </c>
    </row>
    <row r="952" ht="15.75" customHeight="1">
      <c r="A952" s="4" t="s">
        <v>1272</v>
      </c>
      <c r="B952" s="5">
        <v>45951.0</v>
      </c>
      <c r="C952" s="4" t="s">
        <v>23</v>
      </c>
      <c r="D952" s="4" t="s">
        <v>24</v>
      </c>
      <c r="E952" s="4" t="s">
        <v>15</v>
      </c>
      <c r="F952" s="4" t="s">
        <v>820</v>
      </c>
      <c r="G952" s="4">
        <v>3.0</v>
      </c>
      <c r="H952" s="6">
        <v>12715.58</v>
      </c>
      <c r="I952" s="6">
        <v>38146.74</v>
      </c>
      <c r="J952" s="6">
        <v>31832.44</v>
      </c>
      <c r="K952" s="6">
        <v>6314.3</v>
      </c>
      <c r="L952" s="4" t="str">
        <f t="shared" si="1"/>
        <v>Oct-2025</v>
      </c>
    </row>
    <row r="953" ht="15.75" customHeight="1">
      <c r="A953" s="4" t="s">
        <v>1273</v>
      </c>
      <c r="B953" s="5">
        <v>45951.0</v>
      </c>
      <c r="C953" s="4" t="s">
        <v>47</v>
      </c>
      <c r="D953" s="4" t="s">
        <v>14</v>
      </c>
      <c r="E953" s="4" t="s">
        <v>29</v>
      </c>
      <c r="F953" s="4" t="s">
        <v>116</v>
      </c>
      <c r="G953" s="4">
        <v>7.0</v>
      </c>
      <c r="H953" s="6">
        <v>1200.77</v>
      </c>
      <c r="I953" s="6">
        <v>8405.39</v>
      </c>
      <c r="J953" s="6">
        <v>6230.14</v>
      </c>
      <c r="K953" s="6">
        <v>2175.25</v>
      </c>
      <c r="L953" s="4" t="str">
        <f t="shared" si="1"/>
        <v>Oct-2025</v>
      </c>
    </row>
    <row r="954" ht="15.75" customHeight="1">
      <c r="A954" s="4" t="s">
        <v>1274</v>
      </c>
      <c r="B954" s="5">
        <v>45951.0</v>
      </c>
      <c r="C954" s="4" t="s">
        <v>69</v>
      </c>
      <c r="D954" s="4" t="s">
        <v>19</v>
      </c>
      <c r="E954" s="4" t="s">
        <v>15</v>
      </c>
      <c r="F954" s="4" t="s">
        <v>95</v>
      </c>
      <c r="G954" s="4">
        <v>2.0</v>
      </c>
      <c r="H954" s="6">
        <v>23055.7</v>
      </c>
      <c r="I954" s="6">
        <v>46111.4</v>
      </c>
      <c r="J954" s="6">
        <v>39124.15</v>
      </c>
      <c r="K954" s="6">
        <v>6987.25</v>
      </c>
      <c r="L954" s="4" t="str">
        <f t="shared" si="1"/>
        <v>Oct-2025</v>
      </c>
    </row>
    <row r="955" ht="15.75" customHeight="1">
      <c r="A955" s="4" t="s">
        <v>1275</v>
      </c>
      <c r="B955" s="5">
        <v>45952.0</v>
      </c>
      <c r="C955" s="4" t="s">
        <v>41</v>
      </c>
      <c r="D955" s="4" t="s">
        <v>42</v>
      </c>
      <c r="E955" s="4" t="s">
        <v>29</v>
      </c>
      <c r="F955" s="4" t="s">
        <v>229</v>
      </c>
      <c r="G955" s="4">
        <v>7.0</v>
      </c>
      <c r="H955" s="6">
        <v>2085.13</v>
      </c>
      <c r="I955" s="6">
        <v>14595.91</v>
      </c>
      <c r="J955" s="6">
        <v>12030.62</v>
      </c>
      <c r="K955" s="6">
        <v>2565.29</v>
      </c>
      <c r="L955" s="4" t="str">
        <f t="shared" si="1"/>
        <v>Oct-2025</v>
      </c>
    </row>
    <row r="956" ht="15.75" customHeight="1">
      <c r="A956" s="4" t="s">
        <v>1276</v>
      </c>
      <c r="B956" s="5">
        <v>45952.0</v>
      </c>
      <c r="C956" s="4" t="s">
        <v>47</v>
      </c>
      <c r="D956" s="4" t="s">
        <v>14</v>
      </c>
      <c r="E956" s="4" t="s">
        <v>15</v>
      </c>
      <c r="F956" s="4" t="s">
        <v>354</v>
      </c>
      <c r="G956" s="4">
        <v>4.0</v>
      </c>
      <c r="H956" s="6">
        <v>678.52</v>
      </c>
      <c r="I956" s="6">
        <v>2714.08</v>
      </c>
      <c r="J956" s="6">
        <v>2236.31</v>
      </c>
      <c r="K956" s="6">
        <v>477.77</v>
      </c>
      <c r="L956" s="4" t="str">
        <f t="shared" si="1"/>
        <v>Oct-2025</v>
      </c>
    </row>
    <row r="957" ht="15.75" customHeight="1">
      <c r="A957" s="4" t="s">
        <v>1277</v>
      </c>
      <c r="B957" s="5">
        <v>45952.0</v>
      </c>
      <c r="C957" s="4" t="s">
        <v>92</v>
      </c>
      <c r="D957" s="4" t="s">
        <v>14</v>
      </c>
      <c r="E957" s="4" t="s">
        <v>29</v>
      </c>
      <c r="F957" s="4" t="s">
        <v>116</v>
      </c>
      <c r="G957" s="4">
        <v>1.0</v>
      </c>
      <c r="H957" s="6">
        <v>1299.1</v>
      </c>
      <c r="I957" s="6">
        <v>1299.1</v>
      </c>
      <c r="J957" s="6">
        <v>932.41</v>
      </c>
      <c r="K957" s="6">
        <v>366.69</v>
      </c>
      <c r="L957" s="4" t="str">
        <f t="shared" si="1"/>
        <v>Oct-2025</v>
      </c>
    </row>
    <row r="958" ht="15.75" customHeight="1">
      <c r="A958" s="4" t="s">
        <v>1278</v>
      </c>
      <c r="B958" s="5">
        <v>45953.0</v>
      </c>
      <c r="C958" s="4" t="s">
        <v>102</v>
      </c>
      <c r="D958" s="4" t="s">
        <v>24</v>
      </c>
      <c r="E958" s="4" t="s">
        <v>20</v>
      </c>
      <c r="F958" s="4" t="s">
        <v>64</v>
      </c>
      <c r="G958" s="4">
        <v>1.0</v>
      </c>
      <c r="H958" s="6">
        <v>17070.38</v>
      </c>
      <c r="I958" s="6">
        <v>17070.38</v>
      </c>
      <c r="J958" s="6">
        <v>13280.76</v>
      </c>
      <c r="K958" s="6">
        <v>3789.62</v>
      </c>
      <c r="L958" s="4" t="str">
        <f t="shared" si="1"/>
        <v>Oct-2025</v>
      </c>
    </row>
    <row r="959" ht="15.75" customHeight="1">
      <c r="A959" s="4" t="s">
        <v>1279</v>
      </c>
      <c r="B959" s="5">
        <v>45954.0</v>
      </c>
      <c r="C959" s="4" t="s">
        <v>18</v>
      </c>
      <c r="D959" s="4" t="s">
        <v>19</v>
      </c>
      <c r="E959" s="4" t="s">
        <v>25</v>
      </c>
      <c r="F959" s="4" t="s">
        <v>405</v>
      </c>
      <c r="G959" s="4">
        <v>1.0</v>
      </c>
      <c r="H959" s="6">
        <v>18799.31</v>
      </c>
      <c r="I959" s="6">
        <v>18799.31</v>
      </c>
      <c r="J959" s="6">
        <v>17089.38</v>
      </c>
      <c r="K959" s="6">
        <v>1709.93</v>
      </c>
      <c r="L959" s="4" t="str">
        <f t="shared" si="1"/>
        <v>Oct-2025</v>
      </c>
    </row>
    <row r="960" ht="15.75" customHeight="1">
      <c r="A960" s="4" t="s">
        <v>1280</v>
      </c>
      <c r="B960" s="5">
        <v>45955.0</v>
      </c>
      <c r="C960" s="4" t="s">
        <v>13</v>
      </c>
      <c r="D960" s="4" t="s">
        <v>14</v>
      </c>
      <c r="E960" s="4" t="s">
        <v>15</v>
      </c>
      <c r="F960" s="4" t="s">
        <v>371</v>
      </c>
      <c r="G960" s="4">
        <v>5.0</v>
      </c>
      <c r="H960" s="6">
        <v>764.88</v>
      </c>
      <c r="I960" s="6">
        <v>3824.4</v>
      </c>
      <c r="J960" s="6">
        <v>3019.39</v>
      </c>
      <c r="K960" s="6">
        <v>805.01</v>
      </c>
      <c r="L960" s="4" t="str">
        <f t="shared" si="1"/>
        <v>Oct-2025</v>
      </c>
    </row>
    <row r="961" ht="15.75" customHeight="1">
      <c r="A961" s="4" t="s">
        <v>1281</v>
      </c>
      <c r="B961" s="5">
        <v>45955.0</v>
      </c>
      <c r="C961" s="4" t="s">
        <v>61</v>
      </c>
      <c r="D961" s="4" t="s">
        <v>19</v>
      </c>
      <c r="E961" s="4" t="s">
        <v>25</v>
      </c>
      <c r="F961" s="4" t="s">
        <v>1030</v>
      </c>
      <c r="G961" s="4">
        <v>7.0</v>
      </c>
      <c r="H961" s="6">
        <v>29696.05</v>
      </c>
      <c r="I961" s="6">
        <v>207872.35</v>
      </c>
      <c r="J961" s="6">
        <v>167502.65</v>
      </c>
      <c r="K961" s="6">
        <v>40369.7</v>
      </c>
      <c r="L961" s="4" t="str">
        <f t="shared" si="1"/>
        <v>Oct-2025</v>
      </c>
    </row>
    <row r="962" ht="15.75" customHeight="1">
      <c r="A962" s="4" t="s">
        <v>1282</v>
      </c>
      <c r="B962" s="5">
        <v>45956.0</v>
      </c>
      <c r="C962" s="4" t="s">
        <v>23</v>
      </c>
      <c r="D962" s="4" t="s">
        <v>24</v>
      </c>
      <c r="E962" s="4" t="s">
        <v>29</v>
      </c>
      <c r="F962" s="4" t="s">
        <v>304</v>
      </c>
      <c r="G962" s="4">
        <v>5.0</v>
      </c>
      <c r="H962" s="6">
        <v>893.75</v>
      </c>
      <c r="I962" s="6">
        <v>4468.75</v>
      </c>
      <c r="J962" s="6">
        <v>3838.24</v>
      </c>
      <c r="K962" s="6">
        <v>630.51</v>
      </c>
      <c r="L962" s="4" t="str">
        <f t="shared" si="1"/>
        <v>Oct-2025</v>
      </c>
    </row>
    <row r="963" ht="15.75" customHeight="1">
      <c r="A963" s="4" t="s">
        <v>1283</v>
      </c>
      <c r="B963" s="5">
        <v>45956.0</v>
      </c>
      <c r="C963" s="4" t="s">
        <v>155</v>
      </c>
      <c r="D963" s="4" t="s">
        <v>24</v>
      </c>
      <c r="E963" s="4" t="s">
        <v>25</v>
      </c>
      <c r="F963" s="4" t="s">
        <v>125</v>
      </c>
      <c r="G963" s="4">
        <v>1.0</v>
      </c>
      <c r="H963" s="6">
        <v>13108.63</v>
      </c>
      <c r="I963" s="6">
        <v>13108.63</v>
      </c>
      <c r="J963" s="6">
        <v>9862.29</v>
      </c>
      <c r="K963" s="6">
        <v>3246.34</v>
      </c>
      <c r="L963" s="4" t="str">
        <f t="shared" si="1"/>
        <v>Oct-2025</v>
      </c>
    </row>
    <row r="964" ht="15.75" customHeight="1">
      <c r="A964" s="4" t="s">
        <v>1284</v>
      </c>
      <c r="B964" s="5">
        <v>45956.0</v>
      </c>
      <c r="C964" s="4" t="s">
        <v>160</v>
      </c>
      <c r="D964" s="4" t="s">
        <v>42</v>
      </c>
      <c r="E964" s="4" t="s">
        <v>15</v>
      </c>
      <c r="F964" s="4" t="s">
        <v>119</v>
      </c>
      <c r="G964" s="4">
        <v>7.0</v>
      </c>
      <c r="H964" s="6">
        <v>1609.24</v>
      </c>
      <c r="I964" s="6">
        <v>11264.68</v>
      </c>
      <c r="J964" s="6">
        <v>8595.11</v>
      </c>
      <c r="K964" s="6">
        <v>2669.57</v>
      </c>
      <c r="L964" s="4" t="str">
        <f t="shared" si="1"/>
        <v>Oct-2025</v>
      </c>
    </row>
    <row r="965" ht="15.75" customHeight="1">
      <c r="A965" s="4" t="s">
        <v>1285</v>
      </c>
      <c r="B965" s="5">
        <v>45957.0</v>
      </c>
      <c r="C965" s="4" t="s">
        <v>35</v>
      </c>
      <c r="D965" s="4" t="s">
        <v>14</v>
      </c>
      <c r="E965" s="4" t="s">
        <v>25</v>
      </c>
      <c r="F965" s="4" t="s">
        <v>719</v>
      </c>
      <c r="G965" s="4">
        <v>5.0</v>
      </c>
      <c r="H965" s="6">
        <v>487.62</v>
      </c>
      <c r="I965" s="6">
        <v>2438.1</v>
      </c>
      <c r="J965" s="6">
        <v>1905.34</v>
      </c>
      <c r="K965" s="6">
        <v>532.76</v>
      </c>
      <c r="L965" s="4" t="str">
        <f t="shared" si="1"/>
        <v>Oct-2025</v>
      </c>
    </row>
    <row r="966" ht="15.75" customHeight="1">
      <c r="A966" s="4" t="s">
        <v>1286</v>
      </c>
      <c r="B966" s="5">
        <v>45957.0</v>
      </c>
      <c r="C966" s="4" t="s">
        <v>109</v>
      </c>
      <c r="D966" s="4" t="s">
        <v>42</v>
      </c>
      <c r="E966" s="4" t="s">
        <v>20</v>
      </c>
      <c r="F966" s="4" t="s">
        <v>53</v>
      </c>
      <c r="G966" s="4">
        <v>5.0</v>
      </c>
      <c r="H966" s="6">
        <v>3503.99</v>
      </c>
      <c r="I966" s="6">
        <v>17519.95</v>
      </c>
      <c r="J966" s="6">
        <v>15546.18</v>
      </c>
      <c r="K966" s="6">
        <v>1973.77</v>
      </c>
      <c r="L966" s="4" t="str">
        <f t="shared" si="1"/>
        <v>Oct-2025</v>
      </c>
    </row>
    <row r="967" ht="15.75" customHeight="1">
      <c r="A967" s="4" t="s">
        <v>1287</v>
      </c>
      <c r="B967" s="5">
        <v>45957.0</v>
      </c>
      <c r="C967" s="4" t="s">
        <v>66</v>
      </c>
      <c r="D967" s="4" t="s">
        <v>42</v>
      </c>
      <c r="E967" s="4" t="s">
        <v>20</v>
      </c>
      <c r="F967" s="4" t="s">
        <v>746</v>
      </c>
      <c r="G967" s="4">
        <v>7.0</v>
      </c>
      <c r="H967" s="6">
        <v>2101.06</v>
      </c>
      <c r="I967" s="6">
        <v>14707.42</v>
      </c>
      <c r="J967" s="6">
        <v>11217.17</v>
      </c>
      <c r="K967" s="6">
        <v>3490.25</v>
      </c>
      <c r="L967" s="4" t="str">
        <f t="shared" si="1"/>
        <v>Oct-2025</v>
      </c>
    </row>
    <row r="968" ht="15.75" customHeight="1">
      <c r="A968" s="4" t="s">
        <v>1288</v>
      </c>
      <c r="B968" s="5">
        <v>45958.0</v>
      </c>
      <c r="C968" s="4" t="s">
        <v>160</v>
      </c>
      <c r="D968" s="4" t="s">
        <v>42</v>
      </c>
      <c r="E968" s="4" t="s">
        <v>29</v>
      </c>
      <c r="F968" s="4" t="s">
        <v>615</v>
      </c>
      <c r="G968" s="4">
        <v>6.0</v>
      </c>
      <c r="H968" s="6">
        <v>3599.27</v>
      </c>
      <c r="I968" s="6">
        <v>21595.62</v>
      </c>
      <c r="J968" s="6">
        <v>18630.36</v>
      </c>
      <c r="K968" s="6">
        <v>2965.26</v>
      </c>
      <c r="L968" s="4" t="str">
        <f t="shared" si="1"/>
        <v>Oct-2025</v>
      </c>
    </row>
    <row r="969" ht="15.75" customHeight="1">
      <c r="A969" s="4" t="s">
        <v>1289</v>
      </c>
      <c r="B969" s="5">
        <v>45958.0</v>
      </c>
      <c r="C969" s="4" t="s">
        <v>92</v>
      </c>
      <c r="D969" s="4" t="s">
        <v>14</v>
      </c>
      <c r="E969" s="4" t="s">
        <v>20</v>
      </c>
      <c r="F969" s="4" t="s">
        <v>356</v>
      </c>
      <c r="G969" s="4">
        <v>5.0</v>
      </c>
      <c r="H969" s="6">
        <v>532.38</v>
      </c>
      <c r="I969" s="6">
        <v>2661.9</v>
      </c>
      <c r="J969" s="6">
        <v>2015.49</v>
      </c>
      <c r="K969" s="6">
        <v>646.41</v>
      </c>
      <c r="L969" s="4" t="str">
        <f t="shared" si="1"/>
        <v>Oct-2025</v>
      </c>
    </row>
    <row r="970" ht="15.75" customHeight="1">
      <c r="A970" s="4" t="s">
        <v>1290</v>
      </c>
      <c r="B970" s="5">
        <v>45958.0</v>
      </c>
      <c r="C970" s="4" t="s">
        <v>28</v>
      </c>
      <c r="D970" s="4" t="s">
        <v>14</v>
      </c>
      <c r="E970" s="4" t="s">
        <v>25</v>
      </c>
      <c r="F970" s="4" t="s">
        <v>129</v>
      </c>
      <c r="G970" s="4">
        <v>7.0</v>
      </c>
      <c r="H970" s="6">
        <v>392.27</v>
      </c>
      <c r="I970" s="6">
        <v>2745.89</v>
      </c>
      <c r="J970" s="6">
        <v>2091.38</v>
      </c>
      <c r="K970" s="6">
        <v>654.51</v>
      </c>
      <c r="L970" s="4" t="str">
        <f t="shared" si="1"/>
        <v>Oct-2025</v>
      </c>
    </row>
    <row r="971" ht="15.75" customHeight="1">
      <c r="A971" s="4" t="s">
        <v>1291</v>
      </c>
      <c r="B971" s="5">
        <v>45958.0</v>
      </c>
      <c r="C971" s="4" t="s">
        <v>180</v>
      </c>
      <c r="D971" s="4" t="s">
        <v>19</v>
      </c>
      <c r="E971" s="4" t="s">
        <v>20</v>
      </c>
      <c r="F971" s="4" t="s">
        <v>926</v>
      </c>
      <c r="G971" s="4">
        <v>3.0</v>
      </c>
      <c r="H971" s="6">
        <v>43231.15</v>
      </c>
      <c r="I971" s="6">
        <v>129693.45</v>
      </c>
      <c r="J971" s="6">
        <v>110230.77</v>
      </c>
      <c r="K971" s="6">
        <v>19462.68</v>
      </c>
      <c r="L971" s="4" t="str">
        <f t="shared" si="1"/>
        <v>Oct-2025</v>
      </c>
    </row>
    <row r="972" ht="15.75" customHeight="1">
      <c r="A972" s="4" t="s">
        <v>1292</v>
      </c>
      <c r="B972" s="5">
        <v>45958.0</v>
      </c>
      <c r="C972" s="4" t="s">
        <v>61</v>
      </c>
      <c r="D972" s="4" t="s">
        <v>19</v>
      </c>
      <c r="E972" s="4" t="s">
        <v>25</v>
      </c>
      <c r="F972" s="4" t="s">
        <v>241</v>
      </c>
      <c r="G972" s="4">
        <v>2.0</v>
      </c>
      <c r="H972" s="6">
        <v>61987.28</v>
      </c>
      <c r="I972" s="6">
        <v>123974.56</v>
      </c>
      <c r="J972" s="6">
        <v>105006.2</v>
      </c>
      <c r="K972" s="6">
        <v>18968.36</v>
      </c>
      <c r="L972" s="4" t="str">
        <f t="shared" si="1"/>
        <v>Oct-2025</v>
      </c>
    </row>
    <row r="973" ht="15.75" customHeight="1">
      <c r="A973" s="4" t="s">
        <v>1293</v>
      </c>
      <c r="B973" s="5">
        <v>45959.0</v>
      </c>
      <c r="C973" s="4" t="s">
        <v>38</v>
      </c>
      <c r="D973" s="4" t="s">
        <v>19</v>
      </c>
      <c r="E973" s="4" t="s">
        <v>25</v>
      </c>
      <c r="F973" s="4" t="s">
        <v>475</v>
      </c>
      <c r="G973" s="4">
        <v>5.0</v>
      </c>
      <c r="H973" s="6">
        <v>63271.47</v>
      </c>
      <c r="I973" s="6">
        <v>316357.35</v>
      </c>
      <c r="J973" s="6">
        <v>283983.82</v>
      </c>
      <c r="K973" s="6">
        <v>32373.53</v>
      </c>
      <c r="L973" s="4" t="str">
        <f t="shared" si="1"/>
        <v>Oct-2025</v>
      </c>
    </row>
    <row r="974" ht="15.75" customHeight="1">
      <c r="A974" s="4" t="s">
        <v>1294</v>
      </c>
      <c r="B974" s="5">
        <v>45959.0</v>
      </c>
      <c r="C974" s="4" t="s">
        <v>18</v>
      </c>
      <c r="D974" s="4" t="s">
        <v>19</v>
      </c>
      <c r="E974" s="4" t="s">
        <v>20</v>
      </c>
      <c r="F974" s="4" t="s">
        <v>1106</v>
      </c>
      <c r="G974" s="4">
        <v>7.0</v>
      </c>
      <c r="H974" s="6">
        <v>36806.79</v>
      </c>
      <c r="I974" s="6">
        <v>257647.53</v>
      </c>
      <c r="J974" s="6">
        <v>212984.56</v>
      </c>
      <c r="K974" s="6">
        <v>44662.97</v>
      </c>
      <c r="L974" s="4" t="str">
        <f t="shared" si="1"/>
        <v>Oct-2025</v>
      </c>
    </row>
    <row r="975" ht="15.75" customHeight="1">
      <c r="A975" s="4" t="s">
        <v>1295</v>
      </c>
      <c r="B975" s="5">
        <v>45960.0</v>
      </c>
      <c r="C975" s="4" t="s">
        <v>109</v>
      </c>
      <c r="D975" s="4" t="s">
        <v>42</v>
      </c>
      <c r="E975" s="4" t="s">
        <v>15</v>
      </c>
      <c r="F975" s="4" t="s">
        <v>875</v>
      </c>
      <c r="G975" s="4">
        <v>2.0</v>
      </c>
      <c r="H975" s="6">
        <v>846.64</v>
      </c>
      <c r="I975" s="6">
        <v>1693.28</v>
      </c>
      <c r="J975" s="6">
        <v>1452.07</v>
      </c>
      <c r="K975" s="6">
        <v>241.21</v>
      </c>
      <c r="L975" s="4" t="str">
        <f t="shared" si="1"/>
        <v>Oct-2025</v>
      </c>
    </row>
    <row r="976" ht="15.75" customHeight="1">
      <c r="A976" s="4" t="s">
        <v>1296</v>
      </c>
      <c r="B976" s="5">
        <v>45960.0</v>
      </c>
      <c r="C976" s="4" t="s">
        <v>18</v>
      </c>
      <c r="D976" s="4" t="s">
        <v>19</v>
      </c>
      <c r="E976" s="4" t="s">
        <v>25</v>
      </c>
      <c r="F976" s="4" t="s">
        <v>356</v>
      </c>
      <c r="G976" s="4">
        <v>5.0</v>
      </c>
      <c r="H976" s="6">
        <v>61452.0</v>
      </c>
      <c r="I976" s="6">
        <v>307260.0</v>
      </c>
      <c r="J976" s="6">
        <v>248270.07</v>
      </c>
      <c r="K976" s="6">
        <v>58989.93</v>
      </c>
      <c r="L976" s="4" t="str">
        <f t="shared" si="1"/>
        <v>Oct-2025</v>
      </c>
    </row>
    <row r="977" ht="15.75" customHeight="1">
      <c r="A977" s="4" t="s">
        <v>1297</v>
      </c>
      <c r="B977" s="5">
        <v>45961.0</v>
      </c>
      <c r="C977" s="4" t="s">
        <v>140</v>
      </c>
      <c r="D977" s="4" t="s">
        <v>14</v>
      </c>
      <c r="E977" s="4" t="s">
        <v>29</v>
      </c>
      <c r="F977" s="4" t="s">
        <v>1114</v>
      </c>
      <c r="G977" s="4">
        <v>4.0</v>
      </c>
      <c r="H977" s="6">
        <v>546.59</v>
      </c>
      <c r="I977" s="6">
        <v>2186.36</v>
      </c>
      <c r="J977" s="6">
        <v>1639.51</v>
      </c>
      <c r="K977" s="6">
        <v>546.85</v>
      </c>
      <c r="L977" s="4" t="str">
        <f t="shared" si="1"/>
        <v>Oct-2025</v>
      </c>
    </row>
    <row r="978" ht="15.75" customHeight="1">
      <c r="A978" s="4" t="s">
        <v>1298</v>
      </c>
      <c r="B978" s="5">
        <v>45961.0</v>
      </c>
      <c r="C978" s="4" t="s">
        <v>102</v>
      </c>
      <c r="D978" s="4" t="s">
        <v>24</v>
      </c>
      <c r="E978" s="4" t="s">
        <v>25</v>
      </c>
      <c r="F978" s="4" t="s">
        <v>67</v>
      </c>
      <c r="G978" s="4">
        <v>6.0</v>
      </c>
      <c r="H978" s="6">
        <v>948.8</v>
      </c>
      <c r="I978" s="6">
        <v>5692.8</v>
      </c>
      <c r="J978" s="6">
        <v>4441.53</v>
      </c>
      <c r="K978" s="6">
        <v>1251.27</v>
      </c>
      <c r="L978" s="4" t="str">
        <f t="shared" si="1"/>
        <v>Oct-2025</v>
      </c>
    </row>
    <row r="979" ht="15.75" customHeight="1">
      <c r="A979" s="4" t="s">
        <v>1299</v>
      </c>
      <c r="B979" s="5">
        <v>45961.0</v>
      </c>
      <c r="C979" s="4" t="s">
        <v>180</v>
      </c>
      <c r="D979" s="4" t="s">
        <v>19</v>
      </c>
      <c r="E979" s="4" t="s">
        <v>25</v>
      </c>
      <c r="F979" s="4" t="s">
        <v>1300</v>
      </c>
      <c r="G979" s="4">
        <v>1.0</v>
      </c>
      <c r="H979" s="6">
        <v>36116.81</v>
      </c>
      <c r="I979" s="6">
        <v>36116.81</v>
      </c>
      <c r="J979" s="6">
        <v>32746.49</v>
      </c>
      <c r="K979" s="6">
        <v>3370.32</v>
      </c>
      <c r="L979" s="4" t="str">
        <f t="shared" si="1"/>
        <v>Oct-2025</v>
      </c>
    </row>
    <row r="980" ht="15.75" customHeight="1">
      <c r="A980" s="4" t="s">
        <v>1301</v>
      </c>
      <c r="B980" s="5">
        <v>45961.0</v>
      </c>
      <c r="C980" s="4" t="s">
        <v>13</v>
      </c>
      <c r="D980" s="4" t="s">
        <v>14</v>
      </c>
      <c r="E980" s="4" t="s">
        <v>20</v>
      </c>
      <c r="F980" s="4" t="s">
        <v>343</v>
      </c>
      <c r="G980" s="4">
        <v>3.0</v>
      </c>
      <c r="H980" s="6">
        <v>967.97</v>
      </c>
      <c r="I980" s="6">
        <v>2903.91</v>
      </c>
      <c r="J980" s="6">
        <v>2402.16</v>
      </c>
      <c r="K980" s="6">
        <v>501.75</v>
      </c>
      <c r="L980" s="4" t="str">
        <f t="shared" si="1"/>
        <v>Oct-2025</v>
      </c>
    </row>
    <row r="981" ht="15.75" customHeight="1">
      <c r="A981" s="4" t="s">
        <v>1302</v>
      </c>
      <c r="B981" s="5">
        <v>45961.0</v>
      </c>
      <c r="C981" s="4" t="s">
        <v>61</v>
      </c>
      <c r="D981" s="4" t="s">
        <v>19</v>
      </c>
      <c r="E981" s="4" t="s">
        <v>29</v>
      </c>
      <c r="F981" s="4" t="s">
        <v>86</v>
      </c>
      <c r="G981" s="4">
        <v>7.0</v>
      </c>
      <c r="H981" s="6">
        <v>6910.31</v>
      </c>
      <c r="I981" s="6">
        <v>48372.17</v>
      </c>
      <c r="J981" s="6">
        <v>44486.72</v>
      </c>
      <c r="K981" s="6">
        <v>3885.45</v>
      </c>
      <c r="L981" s="4" t="str">
        <f t="shared" si="1"/>
        <v>Oct-2025</v>
      </c>
    </row>
    <row r="982" ht="15.75" customHeight="1">
      <c r="A982" s="4" t="s">
        <v>1303</v>
      </c>
      <c r="B982" s="5">
        <v>45962.0</v>
      </c>
      <c r="C982" s="4" t="s">
        <v>23</v>
      </c>
      <c r="D982" s="4" t="s">
        <v>24</v>
      </c>
      <c r="E982" s="4" t="s">
        <v>15</v>
      </c>
      <c r="F982" s="4" t="s">
        <v>394</v>
      </c>
      <c r="G982" s="4">
        <v>3.0</v>
      </c>
      <c r="H982" s="6">
        <v>4631.76</v>
      </c>
      <c r="I982" s="6">
        <v>13895.28</v>
      </c>
      <c r="J982" s="6">
        <v>10886.23</v>
      </c>
      <c r="K982" s="6">
        <v>3009.05</v>
      </c>
      <c r="L982" s="4" t="str">
        <f t="shared" si="1"/>
        <v>Nov-2025</v>
      </c>
    </row>
    <row r="983" ht="15.75" customHeight="1">
      <c r="A983" s="4" t="s">
        <v>1304</v>
      </c>
      <c r="B983" s="5">
        <v>45962.0</v>
      </c>
      <c r="C983" s="4" t="s">
        <v>32</v>
      </c>
      <c r="D983" s="4" t="s">
        <v>19</v>
      </c>
      <c r="E983" s="4" t="s">
        <v>29</v>
      </c>
      <c r="F983" s="4" t="s">
        <v>173</v>
      </c>
      <c r="G983" s="4">
        <v>7.0</v>
      </c>
      <c r="H983" s="6">
        <v>31660.33</v>
      </c>
      <c r="I983" s="6">
        <v>221622.31</v>
      </c>
      <c r="J983" s="6">
        <v>181386.9</v>
      </c>
      <c r="K983" s="6">
        <v>40235.41</v>
      </c>
      <c r="L983" s="4" t="str">
        <f t="shared" si="1"/>
        <v>Nov-2025</v>
      </c>
    </row>
    <row r="984" ht="15.75" customHeight="1">
      <c r="A984" s="4" t="s">
        <v>1305</v>
      </c>
      <c r="B984" s="5">
        <v>45963.0</v>
      </c>
      <c r="C984" s="4" t="s">
        <v>155</v>
      </c>
      <c r="D984" s="4" t="s">
        <v>24</v>
      </c>
      <c r="E984" s="4" t="s">
        <v>29</v>
      </c>
      <c r="F984" s="4" t="s">
        <v>974</v>
      </c>
      <c r="G984" s="4">
        <v>6.0</v>
      </c>
      <c r="H984" s="6">
        <v>17445.95</v>
      </c>
      <c r="I984" s="6">
        <v>104675.7</v>
      </c>
      <c r="J984" s="6">
        <v>78853.16</v>
      </c>
      <c r="K984" s="6">
        <v>25822.54</v>
      </c>
      <c r="L984" s="4" t="str">
        <f t="shared" si="1"/>
        <v>Nov-2025</v>
      </c>
    </row>
    <row r="985" ht="15.75" customHeight="1">
      <c r="A985" s="4" t="s">
        <v>1306</v>
      </c>
      <c r="B985" s="5">
        <v>45963.0</v>
      </c>
      <c r="C985" s="4" t="s">
        <v>38</v>
      </c>
      <c r="D985" s="4" t="s">
        <v>19</v>
      </c>
      <c r="E985" s="4" t="s">
        <v>29</v>
      </c>
      <c r="F985" s="4" t="s">
        <v>256</v>
      </c>
      <c r="G985" s="4">
        <v>2.0</v>
      </c>
      <c r="H985" s="6">
        <v>41759.75</v>
      </c>
      <c r="I985" s="6">
        <v>83519.5</v>
      </c>
      <c r="J985" s="6">
        <v>74523.36</v>
      </c>
      <c r="K985" s="6">
        <v>8996.14</v>
      </c>
      <c r="L985" s="4" t="str">
        <f t="shared" si="1"/>
        <v>Nov-2025</v>
      </c>
    </row>
    <row r="986" ht="15.75" customHeight="1">
      <c r="A986" s="4" t="s">
        <v>1307</v>
      </c>
      <c r="B986" s="5">
        <v>45963.0</v>
      </c>
      <c r="C986" s="4" t="s">
        <v>160</v>
      </c>
      <c r="D986" s="4" t="s">
        <v>42</v>
      </c>
      <c r="E986" s="4" t="s">
        <v>15</v>
      </c>
      <c r="F986" s="4" t="s">
        <v>250</v>
      </c>
      <c r="G986" s="4">
        <v>4.0</v>
      </c>
      <c r="H986" s="6">
        <v>3312.93</v>
      </c>
      <c r="I986" s="6">
        <v>13251.72</v>
      </c>
      <c r="J986" s="6">
        <v>11877.89</v>
      </c>
      <c r="K986" s="6">
        <v>1373.83</v>
      </c>
      <c r="L986" s="4" t="str">
        <f t="shared" si="1"/>
        <v>Nov-2025</v>
      </c>
    </row>
    <row r="987" ht="15.75" customHeight="1">
      <c r="A987" s="4" t="s">
        <v>1308</v>
      </c>
      <c r="B987" s="5">
        <v>45963.0</v>
      </c>
      <c r="C987" s="4" t="s">
        <v>50</v>
      </c>
      <c r="D987" s="4" t="s">
        <v>42</v>
      </c>
      <c r="E987" s="4" t="s">
        <v>29</v>
      </c>
      <c r="F987" s="4" t="s">
        <v>352</v>
      </c>
      <c r="G987" s="4">
        <v>5.0</v>
      </c>
      <c r="H987" s="6">
        <v>1422.39</v>
      </c>
      <c r="I987" s="6">
        <v>7111.95</v>
      </c>
      <c r="J987" s="6">
        <v>6341.09</v>
      </c>
      <c r="K987" s="6">
        <v>770.86</v>
      </c>
      <c r="L987" s="4" t="str">
        <f t="shared" si="1"/>
        <v>Nov-2025</v>
      </c>
    </row>
    <row r="988" ht="15.75" customHeight="1">
      <c r="A988" s="4" t="s">
        <v>1309</v>
      </c>
      <c r="B988" s="5">
        <v>45964.0</v>
      </c>
      <c r="C988" s="4" t="s">
        <v>13</v>
      </c>
      <c r="D988" s="4" t="s">
        <v>14</v>
      </c>
      <c r="E988" s="4" t="s">
        <v>29</v>
      </c>
      <c r="F988" s="4" t="s">
        <v>99</v>
      </c>
      <c r="G988" s="4">
        <v>3.0</v>
      </c>
      <c r="H988" s="6">
        <v>939.02</v>
      </c>
      <c r="I988" s="6">
        <v>2817.06</v>
      </c>
      <c r="J988" s="6">
        <v>2146.26</v>
      </c>
      <c r="K988" s="6">
        <v>670.8</v>
      </c>
      <c r="L988" s="4" t="str">
        <f t="shared" si="1"/>
        <v>Nov-2025</v>
      </c>
    </row>
    <row r="989" ht="15.75" customHeight="1">
      <c r="A989" s="4" t="s">
        <v>1310</v>
      </c>
      <c r="B989" s="5">
        <v>45964.0</v>
      </c>
      <c r="C989" s="4" t="s">
        <v>92</v>
      </c>
      <c r="D989" s="4" t="s">
        <v>14</v>
      </c>
      <c r="E989" s="4" t="s">
        <v>15</v>
      </c>
      <c r="F989" s="4" t="s">
        <v>707</v>
      </c>
      <c r="G989" s="4">
        <v>1.0</v>
      </c>
      <c r="H989" s="6">
        <v>144.32</v>
      </c>
      <c r="I989" s="6">
        <v>144.32</v>
      </c>
      <c r="J989" s="6">
        <v>102.84</v>
      </c>
      <c r="K989" s="6">
        <v>41.48</v>
      </c>
      <c r="L989" s="4" t="str">
        <f t="shared" si="1"/>
        <v>Nov-2025</v>
      </c>
    </row>
    <row r="990" ht="15.75" customHeight="1">
      <c r="A990" s="4" t="s">
        <v>1311</v>
      </c>
      <c r="B990" s="5">
        <v>45965.0</v>
      </c>
      <c r="C990" s="4" t="s">
        <v>50</v>
      </c>
      <c r="D990" s="4" t="s">
        <v>42</v>
      </c>
      <c r="E990" s="4" t="s">
        <v>15</v>
      </c>
      <c r="F990" s="4" t="s">
        <v>153</v>
      </c>
      <c r="G990" s="4">
        <v>7.0</v>
      </c>
      <c r="H990" s="6">
        <v>884.74</v>
      </c>
      <c r="I990" s="6">
        <v>6193.18</v>
      </c>
      <c r="J990" s="6">
        <v>5179.21</v>
      </c>
      <c r="K990" s="6">
        <v>1013.97</v>
      </c>
      <c r="L990" s="4" t="str">
        <f t="shared" si="1"/>
        <v>Nov-2025</v>
      </c>
    </row>
    <row r="991" ht="15.75" customHeight="1">
      <c r="A991" s="4" t="s">
        <v>1312</v>
      </c>
      <c r="B991" s="5">
        <v>45965.0</v>
      </c>
      <c r="C991" s="4" t="s">
        <v>23</v>
      </c>
      <c r="D991" s="4" t="s">
        <v>24</v>
      </c>
      <c r="E991" s="4" t="s">
        <v>29</v>
      </c>
      <c r="F991" s="4" t="s">
        <v>219</v>
      </c>
      <c r="G991" s="4">
        <v>4.0</v>
      </c>
      <c r="H991" s="6">
        <v>14615.68</v>
      </c>
      <c r="I991" s="6">
        <v>58462.72</v>
      </c>
      <c r="J991" s="6">
        <v>44968.84</v>
      </c>
      <c r="K991" s="6">
        <v>13493.88</v>
      </c>
      <c r="L991" s="4" t="str">
        <f t="shared" si="1"/>
        <v>Nov-2025</v>
      </c>
    </row>
    <row r="992" ht="15.75" customHeight="1">
      <c r="A992" s="4" t="s">
        <v>1313</v>
      </c>
      <c r="B992" s="5">
        <v>45965.0</v>
      </c>
      <c r="C992" s="4" t="s">
        <v>41</v>
      </c>
      <c r="D992" s="4" t="s">
        <v>42</v>
      </c>
      <c r="E992" s="4" t="s">
        <v>15</v>
      </c>
      <c r="F992" s="4" t="s">
        <v>103</v>
      </c>
      <c r="G992" s="4">
        <v>5.0</v>
      </c>
      <c r="H992" s="6">
        <v>2910.04</v>
      </c>
      <c r="I992" s="6">
        <v>14550.2</v>
      </c>
      <c r="J992" s="6">
        <v>10919.31</v>
      </c>
      <c r="K992" s="6">
        <v>3630.89</v>
      </c>
      <c r="L992" s="4" t="str">
        <f t="shared" si="1"/>
        <v>Nov-2025</v>
      </c>
    </row>
    <row r="993" ht="15.75" customHeight="1">
      <c r="A993" s="4" t="s">
        <v>1314</v>
      </c>
      <c r="B993" s="5">
        <v>45965.0</v>
      </c>
      <c r="C993" s="4" t="s">
        <v>61</v>
      </c>
      <c r="D993" s="4" t="s">
        <v>19</v>
      </c>
      <c r="E993" s="4" t="s">
        <v>29</v>
      </c>
      <c r="F993" s="4" t="s">
        <v>195</v>
      </c>
      <c r="G993" s="4">
        <v>7.0</v>
      </c>
      <c r="H993" s="6">
        <v>12722.43</v>
      </c>
      <c r="I993" s="6">
        <v>89057.01</v>
      </c>
      <c r="J993" s="6">
        <v>81665.58</v>
      </c>
      <c r="K993" s="6">
        <v>7391.43</v>
      </c>
      <c r="L993" s="4" t="str">
        <f t="shared" si="1"/>
        <v>Nov-2025</v>
      </c>
    </row>
    <row r="994" ht="15.75" customHeight="1">
      <c r="A994" s="4" t="s">
        <v>1315</v>
      </c>
      <c r="B994" s="5">
        <v>45965.0</v>
      </c>
      <c r="C994" s="4" t="s">
        <v>18</v>
      </c>
      <c r="D994" s="4" t="s">
        <v>19</v>
      </c>
      <c r="E994" s="4" t="s">
        <v>15</v>
      </c>
      <c r="F994" s="4" t="s">
        <v>304</v>
      </c>
      <c r="G994" s="4">
        <v>1.0</v>
      </c>
      <c r="H994" s="6">
        <v>58947.05</v>
      </c>
      <c r="I994" s="6">
        <v>58947.05</v>
      </c>
      <c r="J994" s="6">
        <v>51426.28</v>
      </c>
      <c r="K994" s="6">
        <v>7520.77</v>
      </c>
      <c r="L994" s="4" t="str">
        <f t="shared" si="1"/>
        <v>Nov-2025</v>
      </c>
    </row>
    <row r="995" ht="15.75" customHeight="1">
      <c r="A995" s="4" t="s">
        <v>1316</v>
      </c>
      <c r="B995" s="5">
        <v>45965.0</v>
      </c>
      <c r="C995" s="4" t="s">
        <v>102</v>
      </c>
      <c r="D995" s="4" t="s">
        <v>24</v>
      </c>
      <c r="E995" s="4" t="s">
        <v>20</v>
      </c>
      <c r="F995" s="4" t="s">
        <v>323</v>
      </c>
      <c r="G995" s="4">
        <v>1.0</v>
      </c>
      <c r="H995" s="6">
        <v>12830.24</v>
      </c>
      <c r="I995" s="6">
        <v>12830.24</v>
      </c>
      <c r="J995" s="6">
        <v>10136.77</v>
      </c>
      <c r="K995" s="6">
        <v>2693.47</v>
      </c>
      <c r="L995" s="4" t="str">
        <f t="shared" si="1"/>
        <v>Nov-2025</v>
      </c>
    </row>
    <row r="996" ht="15.75" customHeight="1">
      <c r="A996" s="4" t="s">
        <v>1317</v>
      </c>
      <c r="B996" s="5">
        <v>45965.0</v>
      </c>
      <c r="C996" s="4" t="s">
        <v>180</v>
      </c>
      <c r="D996" s="4" t="s">
        <v>19</v>
      </c>
      <c r="E996" s="4" t="s">
        <v>15</v>
      </c>
      <c r="F996" s="4" t="s">
        <v>354</v>
      </c>
      <c r="G996" s="4">
        <v>6.0</v>
      </c>
      <c r="H996" s="6">
        <v>32415.39</v>
      </c>
      <c r="I996" s="6">
        <v>194492.34</v>
      </c>
      <c r="J996" s="6">
        <v>175882.29</v>
      </c>
      <c r="K996" s="6">
        <v>18610.05</v>
      </c>
      <c r="L996" s="4" t="str">
        <f t="shared" si="1"/>
        <v>Nov-2025</v>
      </c>
    </row>
    <row r="997" ht="15.75" customHeight="1">
      <c r="A997" s="4" t="s">
        <v>1318</v>
      </c>
      <c r="B997" s="5">
        <v>45966.0</v>
      </c>
      <c r="C997" s="4" t="s">
        <v>155</v>
      </c>
      <c r="D997" s="4" t="s">
        <v>24</v>
      </c>
      <c r="E997" s="4" t="s">
        <v>29</v>
      </c>
      <c r="F997" s="4" t="s">
        <v>559</v>
      </c>
      <c r="G997" s="4">
        <v>6.0</v>
      </c>
      <c r="H997" s="6">
        <v>13782.84</v>
      </c>
      <c r="I997" s="6">
        <v>82697.04</v>
      </c>
      <c r="J997" s="6">
        <v>60799.37</v>
      </c>
      <c r="K997" s="6">
        <v>21897.67</v>
      </c>
      <c r="L997" s="4" t="str">
        <f t="shared" si="1"/>
        <v>Nov-2025</v>
      </c>
    </row>
    <row r="998" ht="15.75" customHeight="1">
      <c r="A998" s="4" t="s">
        <v>1319</v>
      </c>
      <c r="B998" s="5">
        <v>45966.0</v>
      </c>
      <c r="C998" s="4" t="s">
        <v>18</v>
      </c>
      <c r="D998" s="4" t="s">
        <v>19</v>
      </c>
      <c r="E998" s="4" t="s">
        <v>15</v>
      </c>
      <c r="F998" s="4" t="s">
        <v>396</v>
      </c>
      <c r="G998" s="4">
        <v>5.0</v>
      </c>
      <c r="H998" s="6">
        <v>14438.92</v>
      </c>
      <c r="I998" s="6">
        <v>72194.6</v>
      </c>
      <c r="J998" s="6">
        <v>61420.83</v>
      </c>
      <c r="K998" s="6">
        <v>10773.77</v>
      </c>
      <c r="L998" s="4" t="str">
        <f t="shared" si="1"/>
        <v>Nov-2025</v>
      </c>
    </row>
    <row r="999" ht="15.75" customHeight="1">
      <c r="A999" s="4" t="s">
        <v>1320</v>
      </c>
      <c r="B999" s="5">
        <v>45966.0</v>
      </c>
      <c r="C999" s="4" t="s">
        <v>61</v>
      </c>
      <c r="D999" s="4" t="s">
        <v>19</v>
      </c>
      <c r="E999" s="4" t="s">
        <v>29</v>
      </c>
      <c r="F999" s="4" t="s">
        <v>346</v>
      </c>
      <c r="G999" s="4">
        <v>3.0</v>
      </c>
      <c r="H999" s="6">
        <v>41079.42</v>
      </c>
      <c r="I999" s="6">
        <v>123238.26</v>
      </c>
      <c r="J999" s="6">
        <v>106997.51</v>
      </c>
      <c r="K999" s="6">
        <v>16240.75</v>
      </c>
      <c r="L999" s="4" t="str">
        <f t="shared" si="1"/>
        <v>Nov-2025</v>
      </c>
    </row>
    <row r="1000" ht="15.75" customHeight="1">
      <c r="A1000" s="4" t="s">
        <v>1321</v>
      </c>
      <c r="B1000" s="5">
        <v>45966.0</v>
      </c>
      <c r="C1000" s="4" t="s">
        <v>18</v>
      </c>
      <c r="D1000" s="4" t="s">
        <v>19</v>
      </c>
      <c r="E1000" s="4" t="s">
        <v>15</v>
      </c>
      <c r="F1000" s="4" t="s">
        <v>248</v>
      </c>
      <c r="G1000" s="4">
        <v>3.0</v>
      </c>
      <c r="H1000" s="6">
        <v>72476.79</v>
      </c>
      <c r="I1000" s="6">
        <v>217430.37</v>
      </c>
      <c r="J1000" s="6">
        <v>176246.28</v>
      </c>
      <c r="K1000" s="6">
        <v>41184.09</v>
      </c>
      <c r="L1000" s="4" t="str">
        <f t="shared" si="1"/>
        <v>Nov-2025</v>
      </c>
    </row>
    <row r="1001" ht="15.75" customHeight="1">
      <c r="A1001" s="4" t="s">
        <v>1322</v>
      </c>
      <c r="B1001" s="5">
        <v>45966.0</v>
      </c>
      <c r="C1001" s="4" t="s">
        <v>47</v>
      </c>
      <c r="D1001" s="4" t="s">
        <v>14</v>
      </c>
      <c r="E1001" s="4" t="s">
        <v>29</v>
      </c>
      <c r="F1001" s="4" t="s">
        <v>663</v>
      </c>
      <c r="G1001" s="4">
        <v>4.0</v>
      </c>
      <c r="H1001" s="6">
        <v>1410.9</v>
      </c>
      <c r="I1001" s="6">
        <v>5643.6</v>
      </c>
      <c r="J1001" s="6">
        <v>4204.64</v>
      </c>
      <c r="K1001" s="6">
        <v>1438.96</v>
      </c>
      <c r="L1001" s="4" t="str">
        <f t="shared" si="1"/>
        <v>Nov-2025</v>
      </c>
    </row>
    <row r="1002" ht="15.75" customHeight="1">
      <c r="A1002" s="4" t="s">
        <v>1323</v>
      </c>
      <c r="B1002" s="5">
        <v>45968.0</v>
      </c>
      <c r="C1002" s="4" t="s">
        <v>38</v>
      </c>
      <c r="D1002" s="4" t="s">
        <v>19</v>
      </c>
      <c r="E1002" s="4" t="s">
        <v>15</v>
      </c>
      <c r="F1002" s="4" t="s">
        <v>26</v>
      </c>
      <c r="G1002" s="4">
        <v>1.0</v>
      </c>
      <c r="H1002" s="6">
        <v>22180.89</v>
      </c>
      <c r="I1002" s="6">
        <v>22180.89</v>
      </c>
      <c r="J1002" s="6">
        <v>19778.23</v>
      </c>
      <c r="K1002" s="6">
        <v>2402.66</v>
      </c>
      <c r="L1002" s="4" t="str">
        <f t="shared" si="1"/>
        <v>Nov-2025</v>
      </c>
    </row>
    <row r="1003" ht="15.75" customHeight="1">
      <c r="A1003" s="4" t="s">
        <v>1324</v>
      </c>
      <c r="B1003" s="5">
        <v>45968.0</v>
      </c>
      <c r="C1003" s="4" t="s">
        <v>155</v>
      </c>
      <c r="D1003" s="4" t="s">
        <v>24</v>
      </c>
      <c r="E1003" s="4" t="s">
        <v>20</v>
      </c>
      <c r="F1003" s="4" t="s">
        <v>891</v>
      </c>
      <c r="G1003" s="4">
        <v>2.0</v>
      </c>
      <c r="H1003" s="6">
        <v>17674.38</v>
      </c>
      <c r="I1003" s="6">
        <v>35348.76</v>
      </c>
      <c r="J1003" s="6">
        <v>26624.15</v>
      </c>
      <c r="K1003" s="6">
        <v>8724.61</v>
      </c>
      <c r="L1003" s="4" t="str">
        <f t="shared" si="1"/>
        <v>Nov-2025</v>
      </c>
    </row>
    <row r="1004" ht="15.75" customHeight="1">
      <c r="A1004" s="4" t="s">
        <v>1325</v>
      </c>
      <c r="B1004" s="5">
        <v>45968.0</v>
      </c>
      <c r="C1004" s="4" t="s">
        <v>109</v>
      </c>
      <c r="D1004" s="4" t="s">
        <v>42</v>
      </c>
      <c r="E1004" s="4" t="s">
        <v>20</v>
      </c>
      <c r="F1004" s="4" t="s">
        <v>250</v>
      </c>
      <c r="G1004" s="4">
        <v>7.0</v>
      </c>
      <c r="H1004" s="6">
        <v>4773.51</v>
      </c>
      <c r="I1004" s="6">
        <v>33414.57</v>
      </c>
      <c r="J1004" s="6">
        <v>25356.04</v>
      </c>
      <c r="K1004" s="6">
        <v>8058.53</v>
      </c>
      <c r="L1004" s="4" t="str">
        <f t="shared" si="1"/>
        <v>Nov-2025</v>
      </c>
    </row>
    <row r="1005" ht="15.75" customHeight="1">
      <c r="A1005" s="4" t="s">
        <v>1326</v>
      </c>
      <c r="B1005" s="5">
        <v>45968.0</v>
      </c>
      <c r="C1005" s="4" t="s">
        <v>32</v>
      </c>
      <c r="D1005" s="4" t="s">
        <v>19</v>
      </c>
      <c r="E1005" s="4" t="s">
        <v>20</v>
      </c>
      <c r="F1005" s="4" t="s">
        <v>422</v>
      </c>
      <c r="G1005" s="4">
        <v>5.0</v>
      </c>
      <c r="H1005" s="6">
        <v>15971.43</v>
      </c>
      <c r="I1005" s="6">
        <v>79857.15</v>
      </c>
      <c r="J1005" s="6">
        <v>64530.82</v>
      </c>
      <c r="K1005" s="6">
        <v>15326.33</v>
      </c>
      <c r="L1005" s="4" t="str">
        <f t="shared" si="1"/>
        <v>Nov-2025</v>
      </c>
    </row>
    <row r="1006" ht="15.75" customHeight="1">
      <c r="A1006" s="4" t="s">
        <v>1327</v>
      </c>
      <c r="B1006" s="5">
        <v>45968.0</v>
      </c>
      <c r="C1006" s="4" t="s">
        <v>155</v>
      </c>
      <c r="D1006" s="4" t="s">
        <v>24</v>
      </c>
      <c r="E1006" s="4" t="s">
        <v>20</v>
      </c>
      <c r="F1006" s="4" t="s">
        <v>57</v>
      </c>
      <c r="G1006" s="4">
        <v>2.0</v>
      </c>
      <c r="H1006" s="6">
        <v>15539.34</v>
      </c>
      <c r="I1006" s="6">
        <v>31078.68</v>
      </c>
      <c r="J1006" s="6">
        <v>26698.17</v>
      </c>
      <c r="K1006" s="6">
        <v>4380.51</v>
      </c>
      <c r="L1006" s="4" t="str">
        <f t="shared" si="1"/>
        <v>Nov-2025</v>
      </c>
    </row>
    <row r="1007" ht="15.75" customHeight="1">
      <c r="A1007" s="4" t="s">
        <v>1328</v>
      </c>
      <c r="B1007" s="5">
        <v>45968.0</v>
      </c>
      <c r="C1007" s="4" t="s">
        <v>28</v>
      </c>
      <c r="D1007" s="4" t="s">
        <v>14</v>
      </c>
      <c r="E1007" s="4" t="s">
        <v>25</v>
      </c>
      <c r="F1007" s="4" t="s">
        <v>371</v>
      </c>
      <c r="G1007" s="4">
        <v>4.0</v>
      </c>
      <c r="H1007" s="6">
        <v>389.57</v>
      </c>
      <c r="I1007" s="6">
        <v>1558.28</v>
      </c>
      <c r="J1007" s="6">
        <v>1254.95</v>
      </c>
      <c r="K1007" s="6">
        <v>303.33</v>
      </c>
      <c r="L1007" s="4" t="str">
        <f t="shared" si="1"/>
        <v>Nov-2025</v>
      </c>
    </row>
    <row r="1008" ht="15.75" customHeight="1">
      <c r="A1008" s="4" t="s">
        <v>1329</v>
      </c>
      <c r="B1008" s="5">
        <v>45969.0</v>
      </c>
      <c r="C1008" s="4" t="s">
        <v>23</v>
      </c>
      <c r="D1008" s="4" t="s">
        <v>24</v>
      </c>
      <c r="E1008" s="4" t="s">
        <v>20</v>
      </c>
      <c r="F1008" s="4" t="s">
        <v>1330</v>
      </c>
      <c r="G1008" s="4">
        <v>4.0</v>
      </c>
      <c r="H1008" s="6">
        <v>10039.28</v>
      </c>
      <c r="I1008" s="6">
        <v>40157.12</v>
      </c>
      <c r="J1008" s="6">
        <v>29931.32</v>
      </c>
      <c r="K1008" s="6">
        <v>10225.8</v>
      </c>
      <c r="L1008" s="4" t="str">
        <f t="shared" si="1"/>
        <v>Nov-2025</v>
      </c>
    </row>
    <row r="1009" ht="15.75" customHeight="1">
      <c r="A1009" s="4" t="s">
        <v>1331</v>
      </c>
      <c r="B1009" s="5">
        <v>45970.0</v>
      </c>
      <c r="C1009" s="4" t="s">
        <v>35</v>
      </c>
      <c r="D1009" s="4" t="s">
        <v>14</v>
      </c>
      <c r="E1009" s="4" t="s">
        <v>29</v>
      </c>
      <c r="F1009" s="4" t="s">
        <v>238</v>
      </c>
      <c r="G1009" s="4">
        <v>3.0</v>
      </c>
      <c r="H1009" s="6">
        <v>1284.79</v>
      </c>
      <c r="I1009" s="6">
        <v>3854.37</v>
      </c>
      <c r="J1009" s="6">
        <v>2776.68</v>
      </c>
      <c r="K1009" s="6">
        <v>1077.69</v>
      </c>
      <c r="L1009" s="4" t="str">
        <f t="shared" si="1"/>
        <v>Nov-2025</v>
      </c>
    </row>
    <row r="1010" ht="15.75" customHeight="1">
      <c r="A1010" s="4" t="s">
        <v>1332</v>
      </c>
      <c r="B1010" s="5">
        <v>45970.0</v>
      </c>
      <c r="C1010" s="4" t="s">
        <v>92</v>
      </c>
      <c r="D1010" s="4" t="s">
        <v>14</v>
      </c>
      <c r="E1010" s="4" t="s">
        <v>25</v>
      </c>
      <c r="F1010" s="4" t="s">
        <v>57</v>
      </c>
      <c r="G1010" s="4">
        <v>2.0</v>
      </c>
      <c r="H1010" s="6">
        <v>958.66</v>
      </c>
      <c r="I1010" s="6">
        <v>1917.32</v>
      </c>
      <c r="J1010" s="6">
        <v>1373.37</v>
      </c>
      <c r="K1010" s="6">
        <v>543.95</v>
      </c>
      <c r="L1010" s="4" t="str">
        <f t="shared" si="1"/>
        <v>Nov-2025</v>
      </c>
    </row>
    <row r="1011" ht="15.75" customHeight="1">
      <c r="A1011" s="4" t="s">
        <v>1333</v>
      </c>
      <c r="B1011" s="5">
        <v>45970.0</v>
      </c>
      <c r="C1011" s="4" t="s">
        <v>35</v>
      </c>
      <c r="D1011" s="4" t="s">
        <v>14</v>
      </c>
      <c r="E1011" s="4" t="s">
        <v>20</v>
      </c>
      <c r="F1011" s="4" t="s">
        <v>76</v>
      </c>
      <c r="G1011" s="4">
        <v>1.0</v>
      </c>
      <c r="H1011" s="6">
        <v>215.69</v>
      </c>
      <c r="I1011" s="6">
        <v>215.69</v>
      </c>
      <c r="J1011" s="6">
        <v>149.49</v>
      </c>
      <c r="K1011" s="6">
        <v>66.2</v>
      </c>
      <c r="L1011" s="4" t="str">
        <f t="shared" si="1"/>
        <v>Nov-2025</v>
      </c>
    </row>
    <row r="1012" ht="15.75" customHeight="1">
      <c r="A1012" s="4" t="s">
        <v>1334</v>
      </c>
      <c r="B1012" s="5">
        <v>45970.0</v>
      </c>
      <c r="C1012" s="4" t="s">
        <v>18</v>
      </c>
      <c r="D1012" s="4" t="s">
        <v>19</v>
      </c>
      <c r="E1012" s="4" t="s">
        <v>15</v>
      </c>
      <c r="F1012" s="4" t="s">
        <v>926</v>
      </c>
      <c r="G1012" s="4">
        <v>5.0</v>
      </c>
      <c r="H1012" s="6">
        <v>31860.66</v>
      </c>
      <c r="I1012" s="6">
        <v>159303.3</v>
      </c>
      <c r="J1012" s="6">
        <v>137795.48</v>
      </c>
      <c r="K1012" s="6">
        <v>21507.82</v>
      </c>
      <c r="L1012" s="4" t="str">
        <f t="shared" si="1"/>
        <v>Nov-2025</v>
      </c>
    </row>
    <row r="1013" ht="15.75" customHeight="1">
      <c r="A1013" s="4" t="s">
        <v>1335</v>
      </c>
      <c r="B1013" s="5">
        <v>45970.0</v>
      </c>
      <c r="C1013" s="4" t="s">
        <v>18</v>
      </c>
      <c r="D1013" s="4" t="s">
        <v>19</v>
      </c>
      <c r="E1013" s="4" t="s">
        <v>25</v>
      </c>
      <c r="F1013" s="4" t="s">
        <v>143</v>
      </c>
      <c r="G1013" s="4">
        <v>6.0</v>
      </c>
      <c r="H1013" s="6">
        <v>45253.17</v>
      </c>
      <c r="I1013" s="6">
        <v>271519.02</v>
      </c>
      <c r="J1013" s="6">
        <v>246899.97</v>
      </c>
      <c r="K1013" s="6">
        <v>24619.05</v>
      </c>
      <c r="L1013" s="4" t="str">
        <f t="shared" si="1"/>
        <v>Nov-2025</v>
      </c>
    </row>
    <row r="1014" ht="15.75" customHeight="1">
      <c r="A1014" s="4" t="s">
        <v>1336</v>
      </c>
      <c r="B1014" s="5">
        <v>45970.0</v>
      </c>
      <c r="C1014" s="4" t="s">
        <v>66</v>
      </c>
      <c r="D1014" s="4" t="s">
        <v>42</v>
      </c>
      <c r="E1014" s="4" t="s">
        <v>29</v>
      </c>
      <c r="F1014" s="4" t="s">
        <v>362</v>
      </c>
      <c r="G1014" s="4">
        <v>5.0</v>
      </c>
      <c r="H1014" s="6">
        <v>1854.89</v>
      </c>
      <c r="I1014" s="6">
        <v>9274.45</v>
      </c>
      <c r="J1014" s="6">
        <v>7352.39</v>
      </c>
      <c r="K1014" s="6">
        <v>1922.06</v>
      </c>
      <c r="L1014" s="4" t="str">
        <f t="shared" si="1"/>
        <v>Nov-2025</v>
      </c>
    </row>
    <row r="1015" ht="15.75" customHeight="1">
      <c r="A1015" s="4" t="s">
        <v>1337</v>
      </c>
      <c r="B1015" s="5">
        <v>45970.0</v>
      </c>
      <c r="C1015" s="4" t="s">
        <v>69</v>
      </c>
      <c r="D1015" s="4" t="s">
        <v>19</v>
      </c>
      <c r="E1015" s="4" t="s">
        <v>29</v>
      </c>
      <c r="F1015" s="4" t="s">
        <v>346</v>
      </c>
      <c r="G1015" s="4">
        <v>7.0</v>
      </c>
      <c r="H1015" s="6">
        <v>24014.45</v>
      </c>
      <c r="I1015" s="6">
        <v>168101.15</v>
      </c>
      <c r="J1015" s="6">
        <v>135786.12</v>
      </c>
      <c r="K1015" s="6">
        <v>32315.03</v>
      </c>
      <c r="L1015" s="4" t="str">
        <f t="shared" si="1"/>
        <v>Nov-2025</v>
      </c>
    </row>
    <row r="1016" ht="15.75" customHeight="1">
      <c r="A1016" s="4" t="s">
        <v>1338</v>
      </c>
      <c r="B1016" s="5">
        <v>45970.0</v>
      </c>
      <c r="C1016" s="4" t="s">
        <v>69</v>
      </c>
      <c r="D1016" s="4" t="s">
        <v>19</v>
      </c>
      <c r="E1016" s="4" t="s">
        <v>29</v>
      </c>
      <c r="F1016" s="4" t="s">
        <v>518</v>
      </c>
      <c r="G1016" s="4">
        <v>2.0</v>
      </c>
      <c r="H1016" s="6">
        <v>36965.55</v>
      </c>
      <c r="I1016" s="6">
        <v>73931.1</v>
      </c>
      <c r="J1016" s="6">
        <v>59629.53</v>
      </c>
      <c r="K1016" s="6">
        <v>14301.57</v>
      </c>
      <c r="L1016" s="4" t="str">
        <f t="shared" si="1"/>
        <v>Nov-2025</v>
      </c>
    </row>
    <row r="1017" ht="15.75" customHeight="1">
      <c r="A1017" s="4" t="s">
        <v>1339</v>
      </c>
      <c r="B1017" s="5">
        <v>45972.0</v>
      </c>
      <c r="C1017" s="4" t="s">
        <v>47</v>
      </c>
      <c r="D1017" s="4" t="s">
        <v>14</v>
      </c>
      <c r="E1017" s="4" t="s">
        <v>20</v>
      </c>
      <c r="F1017" s="4" t="s">
        <v>26</v>
      </c>
      <c r="G1017" s="4">
        <v>6.0</v>
      </c>
      <c r="H1017" s="6">
        <v>338.02</v>
      </c>
      <c r="I1017" s="6">
        <v>2028.12</v>
      </c>
      <c r="J1017" s="6">
        <v>1596.25</v>
      </c>
      <c r="K1017" s="6">
        <v>431.87</v>
      </c>
      <c r="L1017" s="4" t="str">
        <f t="shared" si="1"/>
        <v>Nov-2025</v>
      </c>
    </row>
    <row r="1018" ht="15.75" customHeight="1">
      <c r="A1018" s="4" t="s">
        <v>1340</v>
      </c>
      <c r="B1018" s="5">
        <v>45973.0</v>
      </c>
      <c r="C1018" s="4" t="s">
        <v>69</v>
      </c>
      <c r="D1018" s="4" t="s">
        <v>19</v>
      </c>
      <c r="E1018" s="4" t="s">
        <v>20</v>
      </c>
      <c r="F1018" s="4" t="s">
        <v>596</v>
      </c>
      <c r="G1018" s="4">
        <v>2.0</v>
      </c>
      <c r="H1018" s="6">
        <v>17468.2</v>
      </c>
      <c r="I1018" s="6">
        <v>34936.4</v>
      </c>
      <c r="J1018" s="6">
        <v>28741.03</v>
      </c>
      <c r="K1018" s="6">
        <v>6195.37</v>
      </c>
      <c r="L1018" s="4" t="str">
        <f t="shared" si="1"/>
        <v>Nov-2025</v>
      </c>
    </row>
    <row r="1019" ht="15.75" customHeight="1">
      <c r="A1019" s="4" t="s">
        <v>1341</v>
      </c>
      <c r="B1019" s="5">
        <v>45973.0</v>
      </c>
      <c r="C1019" s="4" t="s">
        <v>109</v>
      </c>
      <c r="D1019" s="4" t="s">
        <v>42</v>
      </c>
      <c r="E1019" s="4" t="s">
        <v>25</v>
      </c>
      <c r="F1019" s="4" t="s">
        <v>463</v>
      </c>
      <c r="G1019" s="4">
        <v>4.0</v>
      </c>
      <c r="H1019" s="6">
        <v>2881.79</v>
      </c>
      <c r="I1019" s="6">
        <v>11527.16</v>
      </c>
      <c r="J1019" s="6">
        <v>9761.93</v>
      </c>
      <c r="K1019" s="6">
        <v>1765.23</v>
      </c>
      <c r="L1019" s="4" t="str">
        <f t="shared" si="1"/>
        <v>Nov-2025</v>
      </c>
    </row>
    <row r="1020" ht="15.75" customHeight="1">
      <c r="A1020" s="4" t="s">
        <v>1342</v>
      </c>
      <c r="B1020" s="5">
        <v>45973.0</v>
      </c>
      <c r="C1020" s="4" t="s">
        <v>13</v>
      </c>
      <c r="D1020" s="4" t="s">
        <v>14</v>
      </c>
      <c r="E1020" s="4" t="s">
        <v>29</v>
      </c>
      <c r="F1020" s="4" t="s">
        <v>203</v>
      </c>
      <c r="G1020" s="4">
        <v>2.0</v>
      </c>
      <c r="H1020" s="6">
        <v>1221.36</v>
      </c>
      <c r="I1020" s="6">
        <v>2442.72</v>
      </c>
      <c r="J1020" s="6">
        <v>1785.82</v>
      </c>
      <c r="K1020" s="6">
        <v>656.9</v>
      </c>
      <c r="L1020" s="4" t="str">
        <f t="shared" si="1"/>
        <v>Nov-2025</v>
      </c>
    </row>
    <row r="1021" ht="15.75" customHeight="1">
      <c r="A1021" s="4" t="s">
        <v>1343</v>
      </c>
      <c r="B1021" s="5">
        <v>45973.0</v>
      </c>
      <c r="C1021" s="4" t="s">
        <v>61</v>
      </c>
      <c r="D1021" s="4" t="s">
        <v>19</v>
      </c>
      <c r="E1021" s="4" t="s">
        <v>25</v>
      </c>
      <c r="F1021" s="4" t="s">
        <v>891</v>
      </c>
      <c r="G1021" s="4">
        <v>1.0</v>
      </c>
      <c r="H1021" s="6">
        <v>17859.94</v>
      </c>
      <c r="I1021" s="6">
        <v>17859.94</v>
      </c>
      <c r="J1021" s="6">
        <v>15325.37</v>
      </c>
      <c r="K1021" s="6">
        <v>2534.57</v>
      </c>
      <c r="L1021" s="4" t="str">
        <f t="shared" si="1"/>
        <v>Nov-2025</v>
      </c>
    </row>
    <row r="1022" ht="15.75" customHeight="1">
      <c r="A1022" s="4" t="s">
        <v>1344</v>
      </c>
      <c r="B1022" s="5">
        <v>45974.0</v>
      </c>
      <c r="C1022" s="4" t="s">
        <v>18</v>
      </c>
      <c r="D1022" s="4" t="s">
        <v>19</v>
      </c>
      <c r="E1022" s="4" t="s">
        <v>29</v>
      </c>
      <c r="F1022" s="4" t="s">
        <v>215</v>
      </c>
      <c r="G1022" s="4">
        <v>6.0</v>
      </c>
      <c r="H1022" s="6">
        <v>12903.11</v>
      </c>
      <c r="I1022" s="6">
        <v>77418.66</v>
      </c>
      <c r="J1022" s="6">
        <v>68910.0</v>
      </c>
      <c r="K1022" s="6">
        <v>8508.66</v>
      </c>
      <c r="L1022" s="4" t="str">
        <f t="shared" si="1"/>
        <v>Nov-2025</v>
      </c>
    </row>
    <row r="1023" ht="15.75" customHeight="1">
      <c r="A1023" s="4" t="s">
        <v>1345</v>
      </c>
      <c r="B1023" s="5">
        <v>45975.0</v>
      </c>
      <c r="C1023" s="4" t="s">
        <v>72</v>
      </c>
      <c r="D1023" s="4" t="s">
        <v>24</v>
      </c>
      <c r="E1023" s="4" t="s">
        <v>15</v>
      </c>
      <c r="F1023" s="4" t="s">
        <v>954</v>
      </c>
      <c r="G1023" s="4">
        <v>3.0</v>
      </c>
      <c r="H1023" s="6">
        <v>10990.1</v>
      </c>
      <c r="I1023" s="6">
        <v>32970.3</v>
      </c>
      <c r="J1023" s="6">
        <v>27257.02</v>
      </c>
      <c r="K1023" s="6">
        <v>5713.28</v>
      </c>
      <c r="L1023" s="4" t="str">
        <f t="shared" si="1"/>
        <v>Nov-2025</v>
      </c>
    </row>
    <row r="1024" ht="15.75" customHeight="1">
      <c r="A1024" s="4" t="s">
        <v>1346</v>
      </c>
      <c r="B1024" s="5">
        <v>45975.0</v>
      </c>
      <c r="C1024" s="4" t="s">
        <v>75</v>
      </c>
      <c r="D1024" s="4" t="s">
        <v>24</v>
      </c>
      <c r="E1024" s="4" t="s">
        <v>25</v>
      </c>
      <c r="F1024" s="4" t="s">
        <v>507</v>
      </c>
      <c r="G1024" s="4">
        <v>5.0</v>
      </c>
      <c r="H1024" s="6">
        <v>1863.26</v>
      </c>
      <c r="I1024" s="6">
        <v>9316.3</v>
      </c>
      <c r="J1024" s="6">
        <v>6974.95</v>
      </c>
      <c r="K1024" s="6">
        <v>2341.35</v>
      </c>
      <c r="L1024" s="4" t="str">
        <f t="shared" si="1"/>
        <v>Nov-2025</v>
      </c>
    </row>
    <row r="1025" ht="15.75" customHeight="1">
      <c r="A1025" s="4" t="s">
        <v>1347</v>
      </c>
      <c r="B1025" s="5">
        <v>45975.0</v>
      </c>
      <c r="C1025" s="4" t="s">
        <v>102</v>
      </c>
      <c r="D1025" s="4" t="s">
        <v>24</v>
      </c>
      <c r="E1025" s="4" t="s">
        <v>20</v>
      </c>
      <c r="F1025" s="4" t="s">
        <v>138</v>
      </c>
      <c r="G1025" s="4">
        <v>3.0</v>
      </c>
      <c r="H1025" s="6">
        <v>13674.77</v>
      </c>
      <c r="I1025" s="6">
        <v>41024.31</v>
      </c>
      <c r="J1025" s="6">
        <v>35413.35</v>
      </c>
      <c r="K1025" s="6">
        <v>5610.96</v>
      </c>
      <c r="L1025" s="4" t="str">
        <f t="shared" si="1"/>
        <v>Nov-2025</v>
      </c>
    </row>
    <row r="1026" ht="15.75" customHeight="1">
      <c r="A1026" s="4" t="s">
        <v>1348</v>
      </c>
      <c r="B1026" s="5">
        <v>45975.0</v>
      </c>
      <c r="C1026" s="4" t="s">
        <v>180</v>
      </c>
      <c r="D1026" s="4" t="s">
        <v>19</v>
      </c>
      <c r="E1026" s="4" t="s">
        <v>29</v>
      </c>
      <c r="F1026" s="4" t="s">
        <v>446</v>
      </c>
      <c r="G1026" s="4">
        <v>1.0</v>
      </c>
      <c r="H1026" s="6">
        <v>51886.69</v>
      </c>
      <c r="I1026" s="6">
        <v>51886.69</v>
      </c>
      <c r="J1026" s="6">
        <v>47373.42</v>
      </c>
      <c r="K1026" s="6">
        <v>4513.27</v>
      </c>
      <c r="L1026" s="4" t="str">
        <f t="shared" si="1"/>
        <v>Nov-2025</v>
      </c>
    </row>
    <row r="1027" ht="15.75" customHeight="1">
      <c r="A1027" s="4" t="s">
        <v>1349</v>
      </c>
      <c r="B1027" s="5">
        <v>45976.0</v>
      </c>
      <c r="C1027" s="4" t="s">
        <v>18</v>
      </c>
      <c r="D1027" s="4" t="s">
        <v>19</v>
      </c>
      <c r="E1027" s="4" t="s">
        <v>25</v>
      </c>
      <c r="F1027" s="4" t="s">
        <v>422</v>
      </c>
      <c r="G1027" s="4">
        <v>5.0</v>
      </c>
      <c r="H1027" s="6">
        <v>4039.64</v>
      </c>
      <c r="I1027" s="6">
        <v>20198.2</v>
      </c>
      <c r="J1027" s="6">
        <v>18008.8</v>
      </c>
      <c r="K1027" s="6">
        <v>2189.4</v>
      </c>
      <c r="L1027" s="4" t="str">
        <f t="shared" si="1"/>
        <v>Nov-2025</v>
      </c>
    </row>
    <row r="1028" ht="15.75" customHeight="1">
      <c r="A1028" s="4" t="s">
        <v>1350</v>
      </c>
      <c r="B1028" s="5">
        <v>45976.0</v>
      </c>
      <c r="C1028" s="4" t="s">
        <v>13</v>
      </c>
      <c r="D1028" s="4" t="s">
        <v>14</v>
      </c>
      <c r="E1028" s="4" t="s">
        <v>15</v>
      </c>
      <c r="F1028" s="4" t="s">
        <v>181</v>
      </c>
      <c r="G1028" s="4">
        <v>1.0</v>
      </c>
      <c r="H1028" s="6">
        <v>219.21</v>
      </c>
      <c r="I1028" s="6">
        <v>219.21</v>
      </c>
      <c r="J1028" s="6">
        <v>156.73</v>
      </c>
      <c r="K1028" s="6">
        <v>62.48</v>
      </c>
      <c r="L1028" s="4" t="str">
        <f t="shared" si="1"/>
        <v>Nov-2025</v>
      </c>
    </row>
    <row r="1029" ht="15.75" customHeight="1">
      <c r="A1029" s="4" t="s">
        <v>1351</v>
      </c>
      <c r="B1029" s="5">
        <v>45977.0</v>
      </c>
      <c r="C1029" s="4" t="s">
        <v>32</v>
      </c>
      <c r="D1029" s="4" t="s">
        <v>19</v>
      </c>
      <c r="E1029" s="4" t="s">
        <v>20</v>
      </c>
      <c r="F1029" s="4" t="s">
        <v>1002</v>
      </c>
      <c r="G1029" s="4">
        <v>1.0</v>
      </c>
      <c r="H1029" s="6">
        <v>14720.74</v>
      </c>
      <c r="I1029" s="6">
        <v>14720.74</v>
      </c>
      <c r="J1029" s="6">
        <v>13504.84</v>
      </c>
      <c r="K1029" s="6">
        <v>1215.9</v>
      </c>
      <c r="L1029" s="4" t="str">
        <f t="shared" si="1"/>
        <v>Nov-2025</v>
      </c>
    </row>
    <row r="1030" ht="15.75" customHeight="1">
      <c r="A1030" s="4" t="s">
        <v>1352</v>
      </c>
      <c r="B1030" s="5">
        <v>45977.0</v>
      </c>
      <c r="C1030" s="4" t="s">
        <v>180</v>
      </c>
      <c r="D1030" s="4" t="s">
        <v>19</v>
      </c>
      <c r="E1030" s="4" t="s">
        <v>29</v>
      </c>
      <c r="F1030" s="4" t="s">
        <v>369</v>
      </c>
      <c r="G1030" s="4">
        <v>3.0</v>
      </c>
      <c r="H1030" s="6">
        <v>44025.49</v>
      </c>
      <c r="I1030" s="6">
        <v>132076.47</v>
      </c>
      <c r="J1030" s="6">
        <v>120384.95</v>
      </c>
      <c r="K1030" s="6">
        <v>11691.52</v>
      </c>
      <c r="L1030" s="4" t="str">
        <f t="shared" si="1"/>
        <v>Nov-2025</v>
      </c>
    </row>
    <row r="1031" ht="15.75" customHeight="1">
      <c r="A1031" s="4" t="s">
        <v>1353</v>
      </c>
      <c r="B1031" s="5">
        <v>45977.0</v>
      </c>
      <c r="C1031" s="4" t="s">
        <v>35</v>
      </c>
      <c r="D1031" s="4" t="s">
        <v>14</v>
      </c>
      <c r="E1031" s="4" t="s">
        <v>25</v>
      </c>
      <c r="F1031" s="4" t="s">
        <v>615</v>
      </c>
      <c r="G1031" s="4">
        <v>4.0</v>
      </c>
      <c r="H1031" s="6">
        <v>1216.43</v>
      </c>
      <c r="I1031" s="6">
        <v>4865.72</v>
      </c>
      <c r="J1031" s="6">
        <v>3343.89</v>
      </c>
      <c r="K1031" s="6">
        <v>1521.83</v>
      </c>
      <c r="L1031" s="4" t="str">
        <f t="shared" si="1"/>
        <v>Nov-2025</v>
      </c>
    </row>
    <row r="1032" ht="15.75" customHeight="1">
      <c r="A1032" s="4" t="s">
        <v>1354</v>
      </c>
      <c r="B1032" s="5">
        <v>45977.0</v>
      </c>
      <c r="C1032" s="4" t="s">
        <v>41</v>
      </c>
      <c r="D1032" s="4" t="s">
        <v>42</v>
      </c>
      <c r="E1032" s="4" t="s">
        <v>15</v>
      </c>
      <c r="F1032" s="4" t="s">
        <v>481</v>
      </c>
      <c r="G1032" s="4">
        <v>2.0</v>
      </c>
      <c r="H1032" s="6">
        <v>2273.65</v>
      </c>
      <c r="I1032" s="6">
        <v>4547.3</v>
      </c>
      <c r="J1032" s="6">
        <v>3693.52</v>
      </c>
      <c r="K1032" s="6">
        <v>853.78</v>
      </c>
      <c r="L1032" s="4" t="str">
        <f t="shared" si="1"/>
        <v>Nov-2025</v>
      </c>
    </row>
    <row r="1033" ht="15.75" customHeight="1">
      <c r="A1033" s="4" t="s">
        <v>1355</v>
      </c>
      <c r="B1033" s="5">
        <v>45978.0</v>
      </c>
      <c r="C1033" s="4" t="s">
        <v>35</v>
      </c>
      <c r="D1033" s="4" t="s">
        <v>14</v>
      </c>
      <c r="E1033" s="4" t="s">
        <v>15</v>
      </c>
      <c r="F1033" s="4" t="s">
        <v>638</v>
      </c>
      <c r="G1033" s="4">
        <v>6.0</v>
      </c>
      <c r="H1033" s="6">
        <v>555.62</v>
      </c>
      <c r="I1033" s="6">
        <v>3333.72</v>
      </c>
      <c r="J1033" s="6">
        <v>2634.62</v>
      </c>
      <c r="K1033" s="6">
        <v>699.1</v>
      </c>
      <c r="L1033" s="4" t="str">
        <f t="shared" si="1"/>
        <v>Nov-2025</v>
      </c>
    </row>
    <row r="1034" ht="15.75" customHeight="1">
      <c r="A1034" s="4" t="s">
        <v>1356</v>
      </c>
      <c r="B1034" s="5">
        <v>45978.0</v>
      </c>
      <c r="C1034" s="4" t="s">
        <v>66</v>
      </c>
      <c r="D1034" s="4" t="s">
        <v>42</v>
      </c>
      <c r="E1034" s="4" t="s">
        <v>29</v>
      </c>
      <c r="F1034" s="4" t="s">
        <v>735</v>
      </c>
      <c r="G1034" s="4">
        <v>5.0</v>
      </c>
      <c r="H1034" s="6">
        <v>1996.67</v>
      </c>
      <c r="I1034" s="6">
        <v>9983.35</v>
      </c>
      <c r="J1034" s="6">
        <v>8721.4</v>
      </c>
      <c r="K1034" s="6">
        <v>1261.95</v>
      </c>
      <c r="L1034" s="4" t="str">
        <f t="shared" si="1"/>
        <v>Nov-2025</v>
      </c>
    </row>
    <row r="1035" ht="15.75" customHeight="1">
      <c r="A1035" s="4" t="s">
        <v>1357</v>
      </c>
      <c r="B1035" s="5">
        <v>45978.0</v>
      </c>
      <c r="C1035" s="4" t="s">
        <v>50</v>
      </c>
      <c r="D1035" s="4" t="s">
        <v>42</v>
      </c>
      <c r="E1035" s="4" t="s">
        <v>15</v>
      </c>
      <c r="F1035" s="4" t="s">
        <v>1106</v>
      </c>
      <c r="G1035" s="4">
        <v>5.0</v>
      </c>
      <c r="H1035" s="6">
        <v>3873.74</v>
      </c>
      <c r="I1035" s="6">
        <v>19368.7</v>
      </c>
      <c r="J1035" s="6">
        <v>17065.89</v>
      </c>
      <c r="K1035" s="6">
        <v>2302.81</v>
      </c>
      <c r="L1035" s="4" t="str">
        <f t="shared" si="1"/>
        <v>Nov-2025</v>
      </c>
    </row>
    <row r="1036" ht="15.75" customHeight="1">
      <c r="A1036" s="4" t="s">
        <v>1358</v>
      </c>
      <c r="B1036" s="5">
        <v>45978.0</v>
      </c>
      <c r="C1036" s="4" t="s">
        <v>32</v>
      </c>
      <c r="D1036" s="4" t="s">
        <v>19</v>
      </c>
      <c r="E1036" s="4" t="s">
        <v>29</v>
      </c>
      <c r="F1036" s="4" t="s">
        <v>295</v>
      </c>
      <c r="G1036" s="4">
        <v>3.0</v>
      </c>
      <c r="H1036" s="6">
        <v>24885.97</v>
      </c>
      <c r="I1036" s="6">
        <v>74657.91</v>
      </c>
      <c r="J1036" s="6">
        <v>62224.45</v>
      </c>
      <c r="K1036" s="6">
        <v>12433.46</v>
      </c>
      <c r="L1036" s="4" t="str">
        <f t="shared" si="1"/>
        <v>Nov-2025</v>
      </c>
    </row>
    <row r="1037" ht="15.75" customHeight="1">
      <c r="A1037" s="4" t="s">
        <v>1359</v>
      </c>
      <c r="B1037" s="5">
        <v>45979.0</v>
      </c>
      <c r="C1037" s="4" t="s">
        <v>75</v>
      </c>
      <c r="D1037" s="4" t="s">
        <v>24</v>
      </c>
      <c r="E1037" s="4" t="s">
        <v>20</v>
      </c>
      <c r="F1037" s="4" t="s">
        <v>250</v>
      </c>
      <c r="G1037" s="4">
        <v>4.0</v>
      </c>
      <c r="H1037" s="6">
        <v>9574.54</v>
      </c>
      <c r="I1037" s="6">
        <v>38298.16</v>
      </c>
      <c r="J1037" s="6">
        <v>28664.01</v>
      </c>
      <c r="K1037" s="6">
        <v>9634.15</v>
      </c>
      <c r="L1037" s="4" t="str">
        <f t="shared" si="1"/>
        <v>Nov-2025</v>
      </c>
    </row>
    <row r="1038" ht="15.75" customHeight="1">
      <c r="A1038" s="4" t="s">
        <v>1360</v>
      </c>
      <c r="B1038" s="5">
        <v>45979.0</v>
      </c>
      <c r="C1038" s="4" t="s">
        <v>75</v>
      </c>
      <c r="D1038" s="4" t="s">
        <v>24</v>
      </c>
      <c r="E1038" s="4" t="s">
        <v>25</v>
      </c>
      <c r="F1038" s="4" t="s">
        <v>789</v>
      </c>
      <c r="G1038" s="4">
        <v>6.0</v>
      </c>
      <c r="H1038" s="6">
        <v>8689.74</v>
      </c>
      <c r="I1038" s="6">
        <v>52138.44</v>
      </c>
      <c r="J1038" s="6">
        <v>43984.06</v>
      </c>
      <c r="K1038" s="6">
        <v>8154.38</v>
      </c>
      <c r="L1038" s="4" t="str">
        <f t="shared" si="1"/>
        <v>Nov-2025</v>
      </c>
    </row>
    <row r="1039" ht="15.75" customHeight="1">
      <c r="A1039" s="4" t="s">
        <v>1361</v>
      </c>
      <c r="B1039" s="5">
        <v>45979.0</v>
      </c>
      <c r="C1039" s="4" t="s">
        <v>47</v>
      </c>
      <c r="D1039" s="4" t="s">
        <v>14</v>
      </c>
      <c r="E1039" s="4" t="s">
        <v>29</v>
      </c>
      <c r="F1039" s="4" t="s">
        <v>725</v>
      </c>
      <c r="G1039" s="4">
        <v>2.0</v>
      </c>
      <c r="H1039" s="6">
        <v>1123.82</v>
      </c>
      <c r="I1039" s="6">
        <v>2247.64</v>
      </c>
      <c r="J1039" s="6">
        <v>1642.02</v>
      </c>
      <c r="K1039" s="6">
        <v>605.62</v>
      </c>
      <c r="L1039" s="4" t="str">
        <f t="shared" si="1"/>
        <v>Nov-2025</v>
      </c>
    </row>
    <row r="1040" ht="15.75" customHeight="1">
      <c r="A1040" s="4" t="s">
        <v>1362</v>
      </c>
      <c r="B1040" s="5">
        <v>45979.0</v>
      </c>
      <c r="C1040" s="4" t="s">
        <v>69</v>
      </c>
      <c r="D1040" s="4" t="s">
        <v>19</v>
      </c>
      <c r="E1040" s="4" t="s">
        <v>29</v>
      </c>
      <c r="F1040" s="4" t="s">
        <v>93</v>
      </c>
      <c r="G1040" s="4">
        <v>3.0</v>
      </c>
      <c r="H1040" s="6">
        <v>56793.94</v>
      </c>
      <c r="I1040" s="6">
        <v>170381.82</v>
      </c>
      <c r="J1040" s="6">
        <v>154647.07</v>
      </c>
      <c r="K1040" s="6">
        <v>15734.75</v>
      </c>
      <c r="L1040" s="4" t="str">
        <f t="shared" si="1"/>
        <v>Nov-2025</v>
      </c>
    </row>
    <row r="1041" ht="15.75" customHeight="1">
      <c r="A1041" s="4" t="s">
        <v>1363</v>
      </c>
      <c r="B1041" s="5">
        <v>45980.0</v>
      </c>
      <c r="C1041" s="4" t="s">
        <v>28</v>
      </c>
      <c r="D1041" s="4" t="s">
        <v>14</v>
      </c>
      <c r="E1041" s="4" t="s">
        <v>20</v>
      </c>
      <c r="F1041" s="4" t="s">
        <v>270</v>
      </c>
      <c r="G1041" s="4">
        <v>6.0</v>
      </c>
      <c r="H1041" s="6">
        <v>782.76</v>
      </c>
      <c r="I1041" s="6">
        <v>4696.56</v>
      </c>
      <c r="J1041" s="6">
        <v>3396.76</v>
      </c>
      <c r="K1041" s="6">
        <v>1299.8</v>
      </c>
      <c r="L1041" s="4" t="str">
        <f t="shared" si="1"/>
        <v>Nov-2025</v>
      </c>
    </row>
    <row r="1042" ht="15.75" customHeight="1">
      <c r="A1042" s="4" t="s">
        <v>1364</v>
      </c>
      <c r="B1042" s="5">
        <v>45980.0</v>
      </c>
      <c r="C1042" s="4" t="s">
        <v>47</v>
      </c>
      <c r="D1042" s="4" t="s">
        <v>14</v>
      </c>
      <c r="E1042" s="4" t="s">
        <v>25</v>
      </c>
      <c r="F1042" s="4" t="s">
        <v>121</v>
      </c>
      <c r="G1042" s="4">
        <v>3.0</v>
      </c>
      <c r="H1042" s="6">
        <v>1030.24</v>
      </c>
      <c r="I1042" s="6">
        <v>3090.72</v>
      </c>
      <c r="J1042" s="6">
        <v>2462.7</v>
      </c>
      <c r="K1042" s="6">
        <v>628.02</v>
      </c>
      <c r="L1042" s="4" t="str">
        <f t="shared" si="1"/>
        <v>Nov-2025</v>
      </c>
    </row>
    <row r="1043" ht="15.75" customHeight="1">
      <c r="A1043" s="4" t="s">
        <v>1365</v>
      </c>
      <c r="B1043" s="5">
        <v>45980.0</v>
      </c>
      <c r="C1043" s="4" t="s">
        <v>92</v>
      </c>
      <c r="D1043" s="4" t="s">
        <v>14</v>
      </c>
      <c r="E1043" s="4" t="s">
        <v>29</v>
      </c>
      <c r="F1043" s="4" t="s">
        <v>48</v>
      </c>
      <c r="G1043" s="4">
        <v>3.0</v>
      </c>
      <c r="H1043" s="6">
        <v>1468.61</v>
      </c>
      <c r="I1043" s="6">
        <v>4405.83</v>
      </c>
      <c r="J1043" s="6">
        <v>3199.41</v>
      </c>
      <c r="K1043" s="6">
        <v>1206.42</v>
      </c>
      <c r="L1043" s="4" t="str">
        <f t="shared" si="1"/>
        <v>Nov-2025</v>
      </c>
    </row>
    <row r="1044" ht="15.75" customHeight="1">
      <c r="A1044" s="4" t="s">
        <v>1366</v>
      </c>
      <c r="B1044" s="5">
        <v>45980.0</v>
      </c>
      <c r="C1044" s="4" t="s">
        <v>47</v>
      </c>
      <c r="D1044" s="4" t="s">
        <v>14</v>
      </c>
      <c r="E1044" s="4" t="s">
        <v>20</v>
      </c>
      <c r="F1044" s="4" t="s">
        <v>626</v>
      </c>
      <c r="G1044" s="4">
        <v>3.0</v>
      </c>
      <c r="H1044" s="6">
        <v>645.37</v>
      </c>
      <c r="I1044" s="6">
        <v>1936.11</v>
      </c>
      <c r="J1044" s="6">
        <v>1420.0</v>
      </c>
      <c r="K1044" s="6">
        <v>516.11</v>
      </c>
      <c r="L1044" s="4" t="str">
        <f t="shared" si="1"/>
        <v>Nov-2025</v>
      </c>
    </row>
    <row r="1045" ht="15.75" customHeight="1">
      <c r="A1045" s="4" t="s">
        <v>1367</v>
      </c>
      <c r="B1045" s="5">
        <v>45980.0</v>
      </c>
      <c r="C1045" s="4" t="s">
        <v>66</v>
      </c>
      <c r="D1045" s="4" t="s">
        <v>42</v>
      </c>
      <c r="E1045" s="4" t="s">
        <v>15</v>
      </c>
      <c r="F1045" s="4" t="s">
        <v>418</v>
      </c>
      <c r="G1045" s="4">
        <v>2.0</v>
      </c>
      <c r="H1045" s="6">
        <v>3152.03</v>
      </c>
      <c r="I1045" s="6">
        <v>6304.06</v>
      </c>
      <c r="J1045" s="6">
        <v>4844.0</v>
      </c>
      <c r="K1045" s="6">
        <v>1460.06</v>
      </c>
      <c r="L1045" s="4" t="str">
        <f t="shared" si="1"/>
        <v>Nov-2025</v>
      </c>
    </row>
    <row r="1046" ht="15.75" customHeight="1">
      <c r="A1046" s="4" t="s">
        <v>1368</v>
      </c>
      <c r="B1046" s="5">
        <v>45980.0</v>
      </c>
      <c r="C1046" s="4" t="s">
        <v>155</v>
      </c>
      <c r="D1046" s="4" t="s">
        <v>24</v>
      </c>
      <c r="E1046" s="4" t="s">
        <v>25</v>
      </c>
      <c r="F1046" s="4" t="s">
        <v>444</v>
      </c>
      <c r="G1046" s="4">
        <v>2.0</v>
      </c>
      <c r="H1046" s="6">
        <v>17721.58</v>
      </c>
      <c r="I1046" s="6">
        <v>35443.16</v>
      </c>
      <c r="J1046" s="6">
        <v>26359.56</v>
      </c>
      <c r="K1046" s="6">
        <v>9083.6</v>
      </c>
      <c r="L1046" s="4" t="str">
        <f t="shared" si="1"/>
        <v>Nov-2025</v>
      </c>
    </row>
    <row r="1047" ht="15.75" customHeight="1">
      <c r="A1047" s="4" t="s">
        <v>1369</v>
      </c>
      <c r="B1047" s="5">
        <v>45981.0</v>
      </c>
      <c r="C1047" s="4" t="s">
        <v>69</v>
      </c>
      <c r="D1047" s="4" t="s">
        <v>19</v>
      </c>
      <c r="E1047" s="4" t="s">
        <v>25</v>
      </c>
      <c r="F1047" s="4" t="s">
        <v>16</v>
      </c>
      <c r="G1047" s="4">
        <v>1.0</v>
      </c>
      <c r="H1047" s="6">
        <v>55429.54</v>
      </c>
      <c r="I1047" s="6">
        <v>55429.54</v>
      </c>
      <c r="J1047" s="6">
        <v>47470.92</v>
      </c>
      <c r="K1047" s="6">
        <v>7958.62</v>
      </c>
      <c r="L1047" s="4" t="str">
        <f t="shared" si="1"/>
        <v>Nov-2025</v>
      </c>
    </row>
    <row r="1048" ht="15.75" customHeight="1">
      <c r="A1048" s="4" t="s">
        <v>1370</v>
      </c>
      <c r="B1048" s="5">
        <v>45981.0</v>
      </c>
      <c r="C1048" s="4" t="s">
        <v>69</v>
      </c>
      <c r="D1048" s="4" t="s">
        <v>19</v>
      </c>
      <c r="E1048" s="4" t="s">
        <v>15</v>
      </c>
      <c r="F1048" s="4" t="s">
        <v>713</v>
      </c>
      <c r="G1048" s="4">
        <v>4.0</v>
      </c>
      <c r="H1048" s="6">
        <v>68117.87</v>
      </c>
      <c r="I1048" s="6">
        <v>272471.48</v>
      </c>
      <c r="J1048" s="6">
        <v>245563.82</v>
      </c>
      <c r="K1048" s="6">
        <v>26907.66</v>
      </c>
      <c r="L1048" s="4" t="str">
        <f t="shared" si="1"/>
        <v>Nov-2025</v>
      </c>
    </row>
    <row r="1049" ht="15.75" customHeight="1">
      <c r="A1049" s="4" t="s">
        <v>1371</v>
      </c>
      <c r="B1049" s="5">
        <v>45981.0</v>
      </c>
      <c r="C1049" s="4" t="s">
        <v>140</v>
      </c>
      <c r="D1049" s="4" t="s">
        <v>14</v>
      </c>
      <c r="E1049" s="4" t="s">
        <v>15</v>
      </c>
      <c r="F1049" s="4" t="s">
        <v>147</v>
      </c>
      <c r="G1049" s="4">
        <v>5.0</v>
      </c>
      <c r="H1049" s="6">
        <v>831.52</v>
      </c>
      <c r="I1049" s="6">
        <v>4157.6</v>
      </c>
      <c r="J1049" s="6">
        <v>3036.71</v>
      </c>
      <c r="K1049" s="6">
        <v>1120.89</v>
      </c>
      <c r="L1049" s="4" t="str">
        <f t="shared" si="1"/>
        <v>Nov-2025</v>
      </c>
    </row>
    <row r="1050" ht="15.75" customHeight="1">
      <c r="A1050" s="4" t="s">
        <v>1372</v>
      </c>
      <c r="B1050" s="5">
        <v>45981.0</v>
      </c>
      <c r="C1050" s="4" t="s">
        <v>32</v>
      </c>
      <c r="D1050" s="4" t="s">
        <v>19</v>
      </c>
      <c r="E1050" s="4" t="s">
        <v>29</v>
      </c>
      <c r="F1050" s="4" t="s">
        <v>282</v>
      </c>
      <c r="G1050" s="4">
        <v>4.0</v>
      </c>
      <c r="H1050" s="6">
        <v>41894.95</v>
      </c>
      <c r="I1050" s="6">
        <v>167579.8</v>
      </c>
      <c r="J1050" s="6">
        <v>146475.61</v>
      </c>
      <c r="K1050" s="6">
        <v>21104.19</v>
      </c>
      <c r="L1050" s="4" t="str">
        <f t="shared" si="1"/>
        <v>Nov-2025</v>
      </c>
    </row>
    <row r="1051" ht="15.75" customHeight="1">
      <c r="A1051" s="4" t="s">
        <v>1373</v>
      </c>
      <c r="B1051" s="5">
        <v>45981.0</v>
      </c>
      <c r="C1051" s="4" t="s">
        <v>69</v>
      </c>
      <c r="D1051" s="4" t="s">
        <v>19</v>
      </c>
      <c r="E1051" s="4" t="s">
        <v>25</v>
      </c>
      <c r="F1051" s="4" t="s">
        <v>780</v>
      </c>
      <c r="G1051" s="4">
        <v>3.0</v>
      </c>
      <c r="H1051" s="6">
        <v>38413.5</v>
      </c>
      <c r="I1051" s="6">
        <v>115240.5</v>
      </c>
      <c r="J1051" s="6">
        <v>100359.56</v>
      </c>
      <c r="K1051" s="6">
        <v>14880.94</v>
      </c>
      <c r="L1051" s="4" t="str">
        <f t="shared" si="1"/>
        <v>Nov-2025</v>
      </c>
    </row>
    <row r="1052" ht="15.75" customHeight="1">
      <c r="A1052" s="4" t="s">
        <v>1374</v>
      </c>
      <c r="B1052" s="5">
        <v>45981.0</v>
      </c>
      <c r="C1052" s="4" t="s">
        <v>41</v>
      </c>
      <c r="D1052" s="4" t="s">
        <v>42</v>
      </c>
      <c r="E1052" s="4" t="s">
        <v>25</v>
      </c>
      <c r="F1052" s="4" t="s">
        <v>80</v>
      </c>
      <c r="G1052" s="4">
        <v>6.0</v>
      </c>
      <c r="H1052" s="6">
        <v>1921.57</v>
      </c>
      <c r="I1052" s="6">
        <v>11529.42</v>
      </c>
      <c r="J1052" s="6">
        <v>9085.29</v>
      </c>
      <c r="K1052" s="6">
        <v>2444.13</v>
      </c>
      <c r="L1052" s="4" t="str">
        <f t="shared" si="1"/>
        <v>Nov-2025</v>
      </c>
    </row>
    <row r="1053" ht="15.75" customHeight="1">
      <c r="A1053" s="4" t="s">
        <v>1375</v>
      </c>
      <c r="B1053" s="5">
        <v>45981.0</v>
      </c>
      <c r="C1053" s="4" t="s">
        <v>75</v>
      </c>
      <c r="D1053" s="4" t="s">
        <v>24</v>
      </c>
      <c r="E1053" s="4" t="s">
        <v>15</v>
      </c>
      <c r="F1053" s="4" t="s">
        <v>143</v>
      </c>
      <c r="G1053" s="4">
        <v>1.0</v>
      </c>
      <c r="H1053" s="6">
        <v>10331.07</v>
      </c>
      <c r="I1053" s="6">
        <v>10331.07</v>
      </c>
      <c r="J1053" s="6">
        <v>8536.59</v>
      </c>
      <c r="K1053" s="6">
        <v>1794.48</v>
      </c>
      <c r="L1053" s="4" t="str">
        <f t="shared" si="1"/>
        <v>Nov-2025</v>
      </c>
    </row>
    <row r="1054" ht="15.75" customHeight="1">
      <c r="A1054" s="4" t="s">
        <v>1376</v>
      </c>
      <c r="B1054" s="5">
        <v>45982.0</v>
      </c>
      <c r="C1054" s="4" t="s">
        <v>160</v>
      </c>
      <c r="D1054" s="4" t="s">
        <v>42</v>
      </c>
      <c r="E1054" s="4" t="s">
        <v>25</v>
      </c>
      <c r="F1054" s="4" t="s">
        <v>147</v>
      </c>
      <c r="G1054" s="4">
        <v>6.0</v>
      </c>
      <c r="H1054" s="6">
        <v>2687.93</v>
      </c>
      <c r="I1054" s="6">
        <v>16127.58</v>
      </c>
      <c r="J1054" s="6">
        <v>14090.07</v>
      </c>
      <c r="K1054" s="6">
        <v>2037.51</v>
      </c>
      <c r="L1054" s="4" t="str">
        <f t="shared" si="1"/>
        <v>Nov-2025</v>
      </c>
    </row>
    <row r="1055" ht="15.75" customHeight="1">
      <c r="A1055" s="4" t="s">
        <v>1377</v>
      </c>
      <c r="B1055" s="5">
        <v>45982.0</v>
      </c>
      <c r="C1055" s="4" t="s">
        <v>75</v>
      </c>
      <c r="D1055" s="4" t="s">
        <v>24</v>
      </c>
      <c r="E1055" s="4" t="s">
        <v>15</v>
      </c>
      <c r="F1055" s="4" t="s">
        <v>201</v>
      </c>
      <c r="G1055" s="4">
        <v>7.0</v>
      </c>
      <c r="H1055" s="6">
        <v>17035.55</v>
      </c>
      <c r="I1055" s="6">
        <v>119248.85</v>
      </c>
      <c r="J1055" s="6">
        <v>92796.52</v>
      </c>
      <c r="K1055" s="6">
        <v>26452.33</v>
      </c>
      <c r="L1055" s="4" t="str">
        <f t="shared" si="1"/>
        <v>Nov-2025</v>
      </c>
    </row>
    <row r="1056" ht="15.75" customHeight="1">
      <c r="A1056" s="4" t="s">
        <v>1378</v>
      </c>
      <c r="B1056" s="5">
        <v>45982.0</v>
      </c>
      <c r="C1056" s="4" t="s">
        <v>47</v>
      </c>
      <c r="D1056" s="4" t="s">
        <v>14</v>
      </c>
      <c r="E1056" s="4" t="s">
        <v>25</v>
      </c>
      <c r="F1056" s="4" t="s">
        <v>661</v>
      </c>
      <c r="G1056" s="4">
        <v>1.0</v>
      </c>
      <c r="H1056" s="6">
        <v>615.35</v>
      </c>
      <c r="I1056" s="6">
        <v>615.35</v>
      </c>
      <c r="J1056" s="6">
        <v>514.57</v>
      </c>
      <c r="K1056" s="6">
        <v>100.78</v>
      </c>
      <c r="L1056" s="4" t="str">
        <f t="shared" si="1"/>
        <v>Nov-2025</v>
      </c>
    </row>
    <row r="1057" ht="15.75" customHeight="1">
      <c r="A1057" s="4" t="s">
        <v>1379</v>
      </c>
      <c r="B1057" s="5">
        <v>45982.0</v>
      </c>
      <c r="C1057" s="4" t="s">
        <v>180</v>
      </c>
      <c r="D1057" s="4" t="s">
        <v>19</v>
      </c>
      <c r="E1057" s="4" t="s">
        <v>20</v>
      </c>
      <c r="F1057" s="4" t="s">
        <v>683</v>
      </c>
      <c r="G1057" s="4">
        <v>6.0</v>
      </c>
      <c r="H1057" s="6">
        <v>17095.73</v>
      </c>
      <c r="I1057" s="6">
        <v>102574.38</v>
      </c>
      <c r="J1057" s="6">
        <v>86029.54</v>
      </c>
      <c r="K1057" s="6">
        <v>16544.84</v>
      </c>
      <c r="L1057" s="4" t="str">
        <f t="shared" si="1"/>
        <v>Nov-2025</v>
      </c>
    </row>
    <row r="1058" ht="15.75" customHeight="1">
      <c r="A1058" s="4" t="s">
        <v>1380</v>
      </c>
      <c r="B1058" s="5">
        <v>45982.0</v>
      </c>
      <c r="C1058" s="4" t="s">
        <v>38</v>
      </c>
      <c r="D1058" s="4" t="s">
        <v>19</v>
      </c>
      <c r="E1058" s="4" t="s">
        <v>25</v>
      </c>
      <c r="F1058" s="4" t="s">
        <v>116</v>
      </c>
      <c r="G1058" s="4">
        <v>6.0</v>
      </c>
      <c r="H1058" s="6">
        <v>17179.32</v>
      </c>
      <c r="I1058" s="6">
        <v>103075.92</v>
      </c>
      <c r="J1058" s="6">
        <v>85750.55</v>
      </c>
      <c r="K1058" s="6">
        <v>17325.37</v>
      </c>
      <c r="L1058" s="4" t="str">
        <f t="shared" si="1"/>
        <v>Nov-2025</v>
      </c>
    </row>
    <row r="1059" ht="15.75" customHeight="1">
      <c r="A1059" s="4" t="s">
        <v>1381</v>
      </c>
      <c r="B1059" s="5">
        <v>45982.0</v>
      </c>
      <c r="C1059" s="4" t="s">
        <v>13</v>
      </c>
      <c r="D1059" s="4" t="s">
        <v>14</v>
      </c>
      <c r="E1059" s="4" t="s">
        <v>15</v>
      </c>
      <c r="F1059" s="4" t="s">
        <v>153</v>
      </c>
      <c r="G1059" s="4">
        <v>3.0</v>
      </c>
      <c r="H1059" s="6">
        <v>1278.66</v>
      </c>
      <c r="I1059" s="6">
        <v>3835.98</v>
      </c>
      <c r="J1059" s="6">
        <v>2668.95</v>
      </c>
      <c r="K1059" s="6">
        <v>1167.03</v>
      </c>
      <c r="L1059" s="4" t="str">
        <f t="shared" si="1"/>
        <v>Nov-2025</v>
      </c>
    </row>
    <row r="1060" ht="15.75" customHeight="1">
      <c r="A1060" s="4" t="s">
        <v>1382</v>
      </c>
      <c r="B1060" s="5">
        <v>45984.0</v>
      </c>
      <c r="C1060" s="4" t="s">
        <v>75</v>
      </c>
      <c r="D1060" s="4" t="s">
        <v>24</v>
      </c>
      <c r="E1060" s="4" t="s">
        <v>15</v>
      </c>
      <c r="F1060" s="4" t="s">
        <v>392</v>
      </c>
      <c r="G1060" s="4">
        <v>5.0</v>
      </c>
      <c r="H1060" s="6">
        <v>7573.6</v>
      </c>
      <c r="I1060" s="6">
        <v>37868.0</v>
      </c>
      <c r="J1060" s="6">
        <v>28478.06</v>
      </c>
      <c r="K1060" s="6">
        <v>9389.94</v>
      </c>
      <c r="L1060" s="4" t="str">
        <f t="shared" si="1"/>
        <v>Nov-2025</v>
      </c>
    </row>
    <row r="1061" ht="15.75" customHeight="1">
      <c r="A1061" s="4" t="s">
        <v>1383</v>
      </c>
      <c r="B1061" s="5">
        <v>45984.0</v>
      </c>
      <c r="C1061" s="4" t="s">
        <v>61</v>
      </c>
      <c r="D1061" s="4" t="s">
        <v>19</v>
      </c>
      <c r="E1061" s="4" t="s">
        <v>25</v>
      </c>
      <c r="F1061" s="4" t="s">
        <v>1260</v>
      </c>
      <c r="G1061" s="4">
        <v>1.0</v>
      </c>
      <c r="H1061" s="6">
        <v>15544.7</v>
      </c>
      <c r="I1061" s="6">
        <v>15544.7</v>
      </c>
      <c r="J1061" s="6">
        <v>14290.82</v>
      </c>
      <c r="K1061" s="6">
        <v>1253.88</v>
      </c>
      <c r="L1061" s="4" t="str">
        <f t="shared" si="1"/>
        <v>Nov-2025</v>
      </c>
    </row>
    <row r="1062" ht="15.75" customHeight="1">
      <c r="A1062" s="4" t="s">
        <v>1384</v>
      </c>
      <c r="B1062" s="5">
        <v>45986.0</v>
      </c>
      <c r="C1062" s="4" t="s">
        <v>61</v>
      </c>
      <c r="D1062" s="4" t="s">
        <v>19</v>
      </c>
      <c r="E1062" s="4" t="s">
        <v>29</v>
      </c>
      <c r="F1062" s="4" t="s">
        <v>976</v>
      </c>
      <c r="G1062" s="4">
        <v>5.0</v>
      </c>
      <c r="H1062" s="6">
        <v>7588.32</v>
      </c>
      <c r="I1062" s="6">
        <v>37941.6</v>
      </c>
      <c r="J1062" s="6">
        <v>30911.2</v>
      </c>
      <c r="K1062" s="6">
        <v>7030.4</v>
      </c>
      <c r="L1062" s="4" t="str">
        <f t="shared" si="1"/>
        <v>Nov-2025</v>
      </c>
    </row>
    <row r="1063" ht="15.75" customHeight="1">
      <c r="A1063" s="4" t="s">
        <v>1385</v>
      </c>
      <c r="B1063" s="5">
        <v>45986.0</v>
      </c>
      <c r="C1063" s="4" t="s">
        <v>13</v>
      </c>
      <c r="D1063" s="4" t="s">
        <v>14</v>
      </c>
      <c r="E1063" s="4" t="s">
        <v>25</v>
      </c>
      <c r="F1063" s="4" t="s">
        <v>492</v>
      </c>
      <c r="G1063" s="4">
        <v>2.0</v>
      </c>
      <c r="H1063" s="6">
        <v>65.12</v>
      </c>
      <c r="I1063" s="6">
        <v>130.24</v>
      </c>
      <c r="J1063" s="6">
        <v>109.17</v>
      </c>
      <c r="K1063" s="6">
        <v>21.07</v>
      </c>
      <c r="L1063" s="4" t="str">
        <f t="shared" si="1"/>
        <v>Nov-2025</v>
      </c>
    </row>
    <row r="1064" ht="15.75" customHeight="1">
      <c r="A1064" s="4" t="s">
        <v>1386</v>
      </c>
      <c r="B1064" s="5">
        <v>45987.0</v>
      </c>
      <c r="C1064" s="4" t="s">
        <v>50</v>
      </c>
      <c r="D1064" s="4" t="s">
        <v>42</v>
      </c>
      <c r="E1064" s="4" t="s">
        <v>20</v>
      </c>
      <c r="F1064" s="4" t="s">
        <v>213</v>
      </c>
      <c r="G1064" s="4">
        <v>1.0</v>
      </c>
      <c r="H1064" s="6">
        <v>4743.51</v>
      </c>
      <c r="I1064" s="6">
        <v>4743.51</v>
      </c>
      <c r="J1064" s="6">
        <v>3950.3</v>
      </c>
      <c r="K1064" s="6">
        <v>793.21</v>
      </c>
      <c r="L1064" s="4" t="str">
        <f t="shared" si="1"/>
        <v>Nov-2025</v>
      </c>
    </row>
    <row r="1065" ht="15.75" customHeight="1">
      <c r="A1065" s="4" t="s">
        <v>1387</v>
      </c>
      <c r="B1065" s="5">
        <v>45987.0</v>
      </c>
      <c r="C1065" s="4" t="s">
        <v>75</v>
      </c>
      <c r="D1065" s="4" t="s">
        <v>24</v>
      </c>
      <c r="E1065" s="4" t="s">
        <v>29</v>
      </c>
      <c r="F1065" s="4" t="s">
        <v>638</v>
      </c>
      <c r="G1065" s="4">
        <v>4.0</v>
      </c>
      <c r="H1065" s="6">
        <v>8643.05</v>
      </c>
      <c r="I1065" s="6">
        <v>34572.2</v>
      </c>
      <c r="J1065" s="6">
        <v>27698.59</v>
      </c>
      <c r="K1065" s="6">
        <v>6873.61</v>
      </c>
      <c r="L1065" s="4" t="str">
        <f t="shared" si="1"/>
        <v>Nov-2025</v>
      </c>
    </row>
    <row r="1066" ht="15.75" customHeight="1">
      <c r="A1066" s="4" t="s">
        <v>1388</v>
      </c>
      <c r="B1066" s="5">
        <v>45987.0</v>
      </c>
      <c r="C1066" s="4" t="s">
        <v>102</v>
      </c>
      <c r="D1066" s="4" t="s">
        <v>24</v>
      </c>
      <c r="E1066" s="4" t="s">
        <v>29</v>
      </c>
      <c r="F1066" s="4" t="s">
        <v>116</v>
      </c>
      <c r="G1066" s="4">
        <v>3.0</v>
      </c>
      <c r="H1066" s="6">
        <v>6941.95</v>
      </c>
      <c r="I1066" s="6">
        <v>20825.85</v>
      </c>
      <c r="J1066" s="6">
        <v>16660.57</v>
      </c>
      <c r="K1066" s="6">
        <v>4165.28</v>
      </c>
      <c r="L1066" s="4" t="str">
        <f t="shared" si="1"/>
        <v>Nov-2025</v>
      </c>
    </row>
    <row r="1067" ht="15.75" customHeight="1">
      <c r="A1067" s="4" t="s">
        <v>1389</v>
      </c>
      <c r="B1067" s="5">
        <v>45988.0</v>
      </c>
      <c r="C1067" s="4" t="s">
        <v>18</v>
      </c>
      <c r="D1067" s="4" t="s">
        <v>19</v>
      </c>
      <c r="E1067" s="4" t="s">
        <v>25</v>
      </c>
      <c r="F1067" s="4" t="s">
        <v>795</v>
      </c>
      <c r="G1067" s="4">
        <v>3.0</v>
      </c>
      <c r="H1067" s="6">
        <v>36196.98</v>
      </c>
      <c r="I1067" s="6">
        <v>108590.94</v>
      </c>
      <c r="J1067" s="6">
        <v>89024.16</v>
      </c>
      <c r="K1067" s="6">
        <v>19566.78</v>
      </c>
      <c r="L1067" s="4" t="str">
        <f t="shared" si="1"/>
        <v>Nov-2025</v>
      </c>
    </row>
    <row r="1068" ht="15.75" customHeight="1">
      <c r="A1068" s="4" t="s">
        <v>1390</v>
      </c>
      <c r="B1068" s="5">
        <v>45988.0</v>
      </c>
      <c r="C1068" s="4" t="s">
        <v>75</v>
      </c>
      <c r="D1068" s="4" t="s">
        <v>24</v>
      </c>
      <c r="E1068" s="4" t="s">
        <v>20</v>
      </c>
      <c r="F1068" s="4" t="s">
        <v>396</v>
      </c>
      <c r="G1068" s="4">
        <v>7.0</v>
      </c>
      <c r="H1068" s="6">
        <v>10523.65</v>
      </c>
      <c r="I1068" s="6">
        <v>73665.55</v>
      </c>
      <c r="J1068" s="6">
        <v>62742.34</v>
      </c>
      <c r="K1068" s="6">
        <v>10923.21</v>
      </c>
      <c r="L1068" s="4" t="str">
        <f t="shared" si="1"/>
        <v>Nov-2025</v>
      </c>
    </row>
    <row r="1069" ht="15.75" customHeight="1">
      <c r="A1069" s="4" t="s">
        <v>1391</v>
      </c>
      <c r="B1069" s="5">
        <v>45988.0</v>
      </c>
      <c r="C1069" s="4" t="s">
        <v>38</v>
      </c>
      <c r="D1069" s="4" t="s">
        <v>19</v>
      </c>
      <c r="E1069" s="4" t="s">
        <v>15</v>
      </c>
      <c r="F1069" s="4" t="s">
        <v>95</v>
      </c>
      <c r="G1069" s="4">
        <v>1.0</v>
      </c>
      <c r="H1069" s="6">
        <v>14838.33</v>
      </c>
      <c r="I1069" s="6">
        <v>14838.33</v>
      </c>
      <c r="J1069" s="6">
        <v>12368.55</v>
      </c>
      <c r="K1069" s="6">
        <v>2469.78</v>
      </c>
      <c r="L1069" s="4" t="str">
        <f t="shared" si="1"/>
        <v>Nov-2025</v>
      </c>
    </row>
    <row r="1070" ht="15.75" customHeight="1">
      <c r="A1070" s="4" t="s">
        <v>1392</v>
      </c>
      <c r="B1070" s="5">
        <v>45988.0</v>
      </c>
      <c r="C1070" s="4" t="s">
        <v>61</v>
      </c>
      <c r="D1070" s="4" t="s">
        <v>19</v>
      </c>
      <c r="E1070" s="4" t="s">
        <v>29</v>
      </c>
      <c r="F1070" s="4" t="s">
        <v>105</v>
      </c>
      <c r="G1070" s="4">
        <v>6.0</v>
      </c>
      <c r="H1070" s="6">
        <v>33982.43</v>
      </c>
      <c r="I1070" s="6">
        <v>203894.58</v>
      </c>
      <c r="J1070" s="6">
        <v>172888.06</v>
      </c>
      <c r="K1070" s="6">
        <v>31006.52</v>
      </c>
      <c r="L1070" s="4" t="str">
        <f t="shared" si="1"/>
        <v>Nov-2025</v>
      </c>
    </row>
    <row r="1071" ht="15.75" customHeight="1">
      <c r="A1071" s="4" t="s">
        <v>1393</v>
      </c>
      <c r="B1071" s="5">
        <v>45988.0</v>
      </c>
      <c r="C1071" s="4" t="s">
        <v>109</v>
      </c>
      <c r="D1071" s="4" t="s">
        <v>42</v>
      </c>
      <c r="E1071" s="4" t="s">
        <v>15</v>
      </c>
      <c r="F1071" s="4" t="s">
        <v>384</v>
      </c>
      <c r="G1071" s="4">
        <v>2.0</v>
      </c>
      <c r="H1071" s="6">
        <v>3606.74</v>
      </c>
      <c r="I1071" s="6">
        <v>7213.48</v>
      </c>
      <c r="J1071" s="6">
        <v>5876.21</v>
      </c>
      <c r="K1071" s="6">
        <v>1337.27</v>
      </c>
      <c r="L1071" s="4" t="str">
        <f t="shared" si="1"/>
        <v>Nov-2025</v>
      </c>
    </row>
    <row r="1072" ht="15.75" customHeight="1">
      <c r="A1072" s="4" t="s">
        <v>1394</v>
      </c>
      <c r="B1072" s="5">
        <v>45988.0</v>
      </c>
      <c r="C1072" s="4" t="s">
        <v>72</v>
      </c>
      <c r="D1072" s="4" t="s">
        <v>24</v>
      </c>
      <c r="E1072" s="4" t="s">
        <v>20</v>
      </c>
      <c r="F1072" s="4" t="s">
        <v>334</v>
      </c>
      <c r="G1072" s="4">
        <v>4.0</v>
      </c>
      <c r="H1072" s="6">
        <v>5997.94</v>
      </c>
      <c r="I1072" s="6">
        <v>23991.76</v>
      </c>
      <c r="J1072" s="6">
        <v>20834.99</v>
      </c>
      <c r="K1072" s="6">
        <v>3156.77</v>
      </c>
      <c r="L1072" s="4" t="str">
        <f t="shared" si="1"/>
        <v>Nov-2025</v>
      </c>
    </row>
    <row r="1073" ht="15.75" customHeight="1">
      <c r="A1073" s="4" t="s">
        <v>1395</v>
      </c>
      <c r="B1073" s="5">
        <v>45988.0</v>
      </c>
      <c r="C1073" s="4" t="s">
        <v>41</v>
      </c>
      <c r="D1073" s="4" t="s">
        <v>42</v>
      </c>
      <c r="E1073" s="4" t="s">
        <v>20</v>
      </c>
      <c r="F1073" s="4" t="s">
        <v>926</v>
      </c>
      <c r="G1073" s="4">
        <v>4.0</v>
      </c>
      <c r="H1073" s="6">
        <v>3502.54</v>
      </c>
      <c r="I1073" s="6">
        <v>14010.16</v>
      </c>
      <c r="J1073" s="6">
        <v>11713.7</v>
      </c>
      <c r="K1073" s="6">
        <v>2296.46</v>
      </c>
      <c r="L1073" s="4" t="str">
        <f t="shared" si="1"/>
        <v>Nov-2025</v>
      </c>
    </row>
    <row r="1074" ht="15.75" customHeight="1">
      <c r="A1074" s="4" t="s">
        <v>1396</v>
      </c>
      <c r="B1074" s="5">
        <v>45988.0</v>
      </c>
      <c r="C1074" s="4" t="s">
        <v>28</v>
      </c>
      <c r="D1074" s="4" t="s">
        <v>14</v>
      </c>
      <c r="E1074" s="4" t="s">
        <v>15</v>
      </c>
      <c r="F1074" s="4" t="s">
        <v>615</v>
      </c>
      <c r="G1074" s="4">
        <v>7.0</v>
      </c>
      <c r="H1074" s="6">
        <v>927.18</v>
      </c>
      <c r="I1074" s="6">
        <v>6490.26</v>
      </c>
      <c r="J1074" s="6">
        <v>4513.8</v>
      </c>
      <c r="K1074" s="6">
        <v>1976.46</v>
      </c>
      <c r="L1074" s="4" t="str">
        <f t="shared" si="1"/>
        <v>Nov-2025</v>
      </c>
    </row>
    <row r="1075" ht="15.75" customHeight="1">
      <c r="A1075" s="4" t="s">
        <v>1397</v>
      </c>
      <c r="B1075" s="5">
        <v>45989.0</v>
      </c>
      <c r="C1075" s="4" t="s">
        <v>35</v>
      </c>
      <c r="D1075" s="4" t="s">
        <v>14</v>
      </c>
      <c r="E1075" s="4" t="s">
        <v>25</v>
      </c>
      <c r="F1075" s="4" t="s">
        <v>286</v>
      </c>
      <c r="G1075" s="4">
        <v>2.0</v>
      </c>
      <c r="H1075" s="6">
        <v>1291.42</v>
      </c>
      <c r="I1075" s="6">
        <v>2582.84</v>
      </c>
      <c r="J1075" s="6">
        <v>2080.07</v>
      </c>
      <c r="K1075" s="6">
        <v>502.77</v>
      </c>
      <c r="L1075" s="4" t="str">
        <f t="shared" si="1"/>
        <v>Nov-2025</v>
      </c>
    </row>
    <row r="1076" ht="15.75" customHeight="1">
      <c r="A1076" s="4" t="s">
        <v>1398</v>
      </c>
      <c r="B1076" s="5">
        <v>45989.0</v>
      </c>
      <c r="C1076" s="4" t="s">
        <v>75</v>
      </c>
      <c r="D1076" s="4" t="s">
        <v>24</v>
      </c>
      <c r="E1076" s="4" t="s">
        <v>25</v>
      </c>
      <c r="F1076" s="4" t="s">
        <v>478</v>
      </c>
      <c r="G1076" s="4">
        <v>3.0</v>
      </c>
      <c r="H1076" s="6">
        <v>12084.83</v>
      </c>
      <c r="I1076" s="6">
        <v>36254.49</v>
      </c>
      <c r="J1076" s="6">
        <v>27265.01</v>
      </c>
      <c r="K1076" s="6">
        <v>8989.48</v>
      </c>
      <c r="L1076" s="4" t="str">
        <f t="shared" si="1"/>
        <v>Nov-2025</v>
      </c>
    </row>
    <row r="1077" ht="15.75" customHeight="1">
      <c r="A1077" s="4" t="s">
        <v>1399</v>
      </c>
      <c r="B1077" s="5">
        <v>45989.0</v>
      </c>
      <c r="C1077" s="4" t="s">
        <v>50</v>
      </c>
      <c r="D1077" s="4" t="s">
        <v>42</v>
      </c>
      <c r="E1077" s="4" t="s">
        <v>25</v>
      </c>
      <c r="F1077" s="4" t="s">
        <v>552</v>
      </c>
      <c r="G1077" s="4">
        <v>7.0</v>
      </c>
      <c r="H1077" s="6">
        <v>3275.05</v>
      </c>
      <c r="I1077" s="6">
        <v>22925.35</v>
      </c>
      <c r="J1077" s="6">
        <v>17551.51</v>
      </c>
      <c r="K1077" s="6">
        <v>5373.84</v>
      </c>
      <c r="L1077" s="4" t="str">
        <f t="shared" si="1"/>
        <v>Nov-2025</v>
      </c>
    </row>
    <row r="1078" ht="15.75" customHeight="1">
      <c r="A1078" s="4" t="s">
        <v>1400</v>
      </c>
      <c r="B1078" s="5">
        <v>45989.0</v>
      </c>
      <c r="C1078" s="4" t="s">
        <v>92</v>
      </c>
      <c r="D1078" s="4" t="s">
        <v>14</v>
      </c>
      <c r="E1078" s="4" t="s">
        <v>15</v>
      </c>
      <c r="F1078" s="4" t="s">
        <v>82</v>
      </c>
      <c r="G1078" s="4">
        <v>6.0</v>
      </c>
      <c r="H1078" s="6">
        <v>791.73</v>
      </c>
      <c r="I1078" s="6">
        <v>4750.38</v>
      </c>
      <c r="J1078" s="6">
        <v>3631.56</v>
      </c>
      <c r="K1078" s="6">
        <v>1118.82</v>
      </c>
      <c r="L1078" s="4" t="str">
        <f t="shared" si="1"/>
        <v>Nov-2025</v>
      </c>
    </row>
    <row r="1079" ht="15.75" customHeight="1">
      <c r="A1079" s="4" t="s">
        <v>1401</v>
      </c>
      <c r="B1079" s="5">
        <v>45989.0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4">
        <v>2.0</v>
      </c>
      <c r="H1079" s="6">
        <v>4556.19</v>
      </c>
      <c r="I1079" s="6">
        <v>9112.38</v>
      </c>
      <c r="J1079" s="6">
        <v>8340.32</v>
      </c>
      <c r="K1079" s="6">
        <v>772.06</v>
      </c>
      <c r="L1079" s="4" t="str">
        <f t="shared" si="1"/>
        <v>Nov-2025</v>
      </c>
    </row>
    <row r="1080" ht="15.75" customHeight="1">
      <c r="A1080" s="4" t="s">
        <v>1402</v>
      </c>
      <c r="B1080" s="5">
        <v>45990.0</v>
      </c>
      <c r="C1080" s="4" t="s">
        <v>32</v>
      </c>
      <c r="D1080" s="4" t="s">
        <v>19</v>
      </c>
      <c r="E1080" s="4" t="s">
        <v>15</v>
      </c>
      <c r="F1080" s="4" t="s">
        <v>926</v>
      </c>
      <c r="G1080" s="4">
        <v>1.0</v>
      </c>
      <c r="H1080" s="6">
        <v>28196.9</v>
      </c>
      <c r="I1080" s="6">
        <v>28196.9</v>
      </c>
      <c r="J1080" s="6">
        <v>24404.07</v>
      </c>
      <c r="K1080" s="6">
        <v>3792.83</v>
      </c>
      <c r="L1080" s="4" t="str">
        <f t="shared" si="1"/>
        <v>Nov-2025</v>
      </c>
    </row>
    <row r="1081" ht="15.75" customHeight="1">
      <c r="A1081" s="4" t="s">
        <v>1403</v>
      </c>
      <c r="B1081" s="5">
        <v>45990.0</v>
      </c>
      <c r="C1081" s="4" t="s">
        <v>66</v>
      </c>
      <c r="D1081" s="4" t="s">
        <v>42</v>
      </c>
      <c r="E1081" s="4" t="s">
        <v>25</v>
      </c>
      <c r="F1081" s="4" t="s">
        <v>252</v>
      </c>
      <c r="G1081" s="4">
        <v>7.0</v>
      </c>
      <c r="H1081" s="6">
        <v>4365.35</v>
      </c>
      <c r="I1081" s="6">
        <v>30557.45</v>
      </c>
      <c r="J1081" s="6">
        <v>23430.58</v>
      </c>
      <c r="K1081" s="6">
        <v>7126.87</v>
      </c>
      <c r="L1081" s="4" t="str">
        <f t="shared" si="1"/>
        <v>Nov-2025</v>
      </c>
    </row>
    <row r="1082" ht="15.75" customHeight="1">
      <c r="A1082" s="4" t="s">
        <v>1404</v>
      </c>
      <c r="B1082" s="5">
        <v>45990.0</v>
      </c>
      <c r="C1082" s="4" t="s">
        <v>13</v>
      </c>
      <c r="D1082" s="4" t="s">
        <v>14</v>
      </c>
      <c r="E1082" s="4" t="s">
        <v>25</v>
      </c>
      <c r="F1082" s="4" t="s">
        <v>169</v>
      </c>
      <c r="G1082" s="4">
        <v>1.0</v>
      </c>
      <c r="H1082" s="6">
        <v>62.32</v>
      </c>
      <c r="I1082" s="6">
        <v>62.32</v>
      </c>
      <c r="J1082" s="6">
        <v>49.09</v>
      </c>
      <c r="K1082" s="6">
        <v>13.23</v>
      </c>
      <c r="L1082" s="4" t="str">
        <f t="shared" si="1"/>
        <v>Nov-2025</v>
      </c>
    </row>
    <row r="1083" ht="15.75" customHeight="1">
      <c r="A1083" s="4" t="s">
        <v>1405</v>
      </c>
      <c r="B1083" s="5">
        <v>45990.0</v>
      </c>
      <c r="C1083" s="4" t="s">
        <v>47</v>
      </c>
      <c r="D1083" s="4" t="s">
        <v>14</v>
      </c>
      <c r="E1083" s="4" t="s">
        <v>29</v>
      </c>
      <c r="F1083" s="4" t="s">
        <v>444</v>
      </c>
      <c r="G1083" s="4">
        <v>7.0</v>
      </c>
      <c r="H1083" s="6">
        <v>1487.19</v>
      </c>
      <c r="I1083" s="6">
        <v>10410.33</v>
      </c>
      <c r="J1083" s="6">
        <v>7699.06</v>
      </c>
      <c r="K1083" s="6">
        <v>2711.27</v>
      </c>
      <c r="L1083" s="4" t="str">
        <f t="shared" si="1"/>
        <v>Nov-2025</v>
      </c>
    </row>
    <row r="1084" ht="15.75" customHeight="1">
      <c r="A1084" s="4" t="s">
        <v>1406</v>
      </c>
      <c r="B1084" s="5">
        <v>45991.0</v>
      </c>
      <c r="C1084" s="4" t="s">
        <v>72</v>
      </c>
      <c r="D1084" s="4" t="s">
        <v>24</v>
      </c>
      <c r="E1084" s="4" t="s">
        <v>25</v>
      </c>
      <c r="F1084" s="4" t="s">
        <v>1106</v>
      </c>
      <c r="G1084" s="4">
        <v>2.0</v>
      </c>
      <c r="H1084" s="6">
        <v>9505.76</v>
      </c>
      <c r="I1084" s="6">
        <v>19011.52</v>
      </c>
      <c r="J1084" s="6">
        <v>14619.83</v>
      </c>
      <c r="K1084" s="6">
        <v>4391.69</v>
      </c>
      <c r="L1084" s="4" t="str">
        <f t="shared" si="1"/>
        <v>Nov-2025</v>
      </c>
    </row>
    <row r="1085" ht="15.75" customHeight="1">
      <c r="A1085" s="4" t="s">
        <v>1407</v>
      </c>
      <c r="B1085" s="5">
        <v>45991.0</v>
      </c>
      <c r="C1085" s="4" t="s">
        <v>50</v>
      </c>
      <c r="D1085" s="4" t="s">
        <v>42</v>
      </c>
      <c r="E1085" s="4" t="s">
        <v>15</v>
      </c>
      <c r="F1085" s="4" t="s">
        <v>264</v>
      </c>
      <c r="G1085" s="4">
        <v>6.0</v>
      </c>
      <c r="H1085" s="6">
        <v>3842.11</v>
      </c>
      <c r="I1085" s="6">
        <v>23052.66</v>
      </c>
      <c r="J1085" s="6">
        <v>18361.83</v>
      </c>
      <c r="K1085" s="6">
        <v>4690.83</v>
      </c>
      <c r="L1085" s="4" t="str">
        <f t="shared" si="1"/>
        <v>Nov-2025</v>
      </c>
    </row>
    <row r="1086" ht="15.75" customHeight="1">
      <c r="A1086" s="4" t="s">
        <v>1408</v>
      </c>
      <c r="B1086" s="5">
        <v>45991.0</v>
      </c>
      <c r="C1086" s="4" t="s">
        <v>180</v>
      </c>
      <c r="D1086" s="4" t="s">
        <v>19</v>
      </c>
      <c r="E1086" s="4" t="s">
        <v>29</v>
      </c>
      <c r="F1086" s="4" t="s">
        <v>719</v>
      </c>
      <c r="G1086" s="4">
        <v>3.0</v>
      </c>
      <c r="H1086" s="6">
        <v>54142.9</v>
      </c>
      <c r="I1086" s="6">
        <v>162428.7</v>
      </c>
      <c r="J1086" s="6">
        <v>135213.32</v>
      </c>
      <c r="K1086" s="6">
        <v>27215.38</v>
      </c>
      <c r="L1086" s="4" t="str">
        <f t="shared" si="1"/>
        <v>Nov-2025</v>
      </c>
    </row>
    <row r="1087" ht="15.75" customHeight="1">
      <c r="A1087" s="4" t="s">
        <v>1409</v>
      </c>
      <c r="B1087" s="5">
        <v>45991.0</v>
      </c>
      <c r="C1087" s="4" t="s">
        <v>50</v>
      </c>
      <c r="D1087" s="4" t="s">
        <v>42</v>
      </c>
      <c r="E1087" s="4" t="s">
        <v>29</v>
      </c>
      <c r="F1087" s="4" t="s">
        <v>468</v>
      </c>
      <c r="G1087" s="4">
        <v>3.0</v>
      </c>
      <c r="H1087" s="6">
        <v>4704.03</v>
      </c>
      <c r="I1087" s="6">
        <v>14112.09</v>
      </c>
      <c r="J1087" s="6">
        <v>11484.83</v>
      </c>
      <c r="K1087" s="6">
        <v>2627.26</v>
      </c>
      <c r="L1087" s="4" t="str">
        <f t="shared" si="1"/>
        <v>Nov-2025</v>
      </c>
    </row>
    <row r="1088" ht="15.75" customHeight="1">
      <c r="A1088" s="4" t="s">
        <v>1410</v>
      </c>
      <c r="B1088" s="5">
        <v>45991.0</v>
      </c>
      <c r="C1088" s="4" t="s">
        <v>41</v>
      </c>
      <c r="D1088" s="4" t="s">
        <v>42</v>
      </c>
      <c r="E1088" s="4" t="s">
        <v>25</v>
      </c>
      <c r="F1088" s="4" t="s">
        <v>594</v>
      </c>
      <c r="G1088" s="4">
        <v>3.0</v>
      </c>
      <c r="H1088" s="6">
        <v>220.1</v>
      </c>
      <c r="I1088" s="6">
        <v>660.3</v>
      </c>
      <c r="J1088" s="6">
        <v>545.77</v>
      </c>
      <c r="K1088" s="6">
        <v>114.53</v>
      </c>
      <c r="L1088" s="4" t="str">
        <f t="shared" si="1"/>
        <v>Nov-2025</v>
      </c>
    </row>
    <row r="1089" ht="15.75" customHeight="1">
      <c r="A1089" s="4" t="s">
        <v>1411</v>
      </c>
      <c r="B1089" s="5">
        <v>45992.0</v>
      </c>
      <c r="C1089" s="4" t="s">
        <v>23</v>
      </c>
      <c r="D1089" s="4" t="s">
        <v>24</v>
      </c>
      <c r="E1089" s="4" t="s">
        <v>25</v>
      </c>
      <c r="F1089" s="4" t="s">
        <v>795</v>
      </c>
      <c r="G1089" s="4">
        <v>4.0</v>
      </c>
      <c r="H1089" s="6">
        <v>2652.14</v>
      </c>
      <c r="I1089" s="6">
        <v>10608.56</v>
      </c>
      <c r="J1089" s="6">
        <v>8255.83</v>
      </c>
      <c r="K1089" s="6">
        <v>2352.73</v>
      </c>
      <c r="L1089" s="4" t="str">
        <f t="shared" si="1"/>
        <v>Dec-2025</v>
      </c>
    </row>
    <row r="1090" ht="15.75" customHeight="1">
      <c r="A1090" s="4" t="s">
        <v>1412</v>
      </c>
      <c r="B1090" s="5">
        <v>45992.0</v>
      </c>
      <c r="C1090" s="4" t="s">
        <v>180</v>
      </c>
      <c r="D1090" s="4" t="s">
        <v>19</v>
      </c>
      <c r="E1090" s="4" t="s">
        <v>29</v>
      </c>
      <c r="F1090" s="4" t="s">
        <v>492</v>
      </c>
      <c r="G1090" s="4">
        <v>3.0</v>
      </c>
      <c r="H1090" s="6">
        <v>18893.13</v>
      </c>
      <c r="I1090" s="6">
        <v>56679.39</v>
      </c>
      <c r="J1090" s="6">
        <v>51107.3</v>
      </c>
      <c r="K1090" s="6">
        <v>5572.09</v>
      </c>
      <c r="L1090" s="4" t="str">
        <f t="shared" si="1"/>
        <v>Dec-2025</v>
      </c>
    </row>
    <row r="1091" ht="15.75" customHeight="1">
      <c r="A1091" s="4" t="s">
        <v>1413</v>
      </c>
      <c r="B1091" s="5">
        <v>45992.0</v>
      </c>
      <c r="C1091" s="4" t="s">
        <v>50</v>
      </c>
      <c r="D1091" s="4" t="s">
        <v>42</v>
      </c>
      <c r="E1091" s="4" t="s">
        <v>20</v>
      </c>
      <c r="F1091" s="4" t="s">
        <v>116</v>
      </c>
      <c r="G1091" s="4">
        <v>2.0</v>
      </c>
      <c r="H1091" s="6">
        <v>3387.68</v>
      </c>
      <c r="I1091" s="6">
        <v>6775.36</v>
      </c>
      <c r="J1091" s="6">
        <v>5882.32</v>
      </c>
      <c r="K1091" s="6">
        <v>893.04</v>
      </c>
      <c r="L1091" s="4" t="str">
        <f t="shared" si="1"/>
        <v>Dec-2025</v>
      </c>
    </row>
    <row r="1092" ht="15.75" customHeight="1">
      <c r="A1092" s="4" t="s">
        <v>1414</v>
      </c>
      <c r="B1092" s="5">
        <v>45993.0</v>
      </c>
      <c r="C1092" s="4" t="s">
        <v>35</v>
      </c>
      <c r="D1092" s="4" t="s">
        <v>14</v>
      </c>
      <c r="E1092" s="4" t="s">
        <v>25</v>
      </c>
      <c r="F1092" s="4" t="s">
        <v>546</v>
      </c>
      <c r="G1092" s="4">
        <v>7.0</v>
      </c>
      <c r="H1092" s="6">
        <v>702.12</v>
      </c>
      <c r="I1092" s="6">
        <v>4914.84</v>
      </c>
      <c r="J1092" s="6">
        <v>3770.24</v>
      </c>
      <c r="K1092" s="6">
        <v>1144.6</v>
      </c>
      <c r="L1092" s="4" t="str">
        <f t="shared" si="1"/>
        <v>Dec-2025</v>
      </c>
    </row>
    <row r="1093" ht="15.75" customHeight="1">
      <c r="A1093" s="4" t="s">
        <v>1415</v>
      </c>
      <c r="B1093" s="5">
        <v>45993.0</v>
      </c>
      <c r="C1093" s="4" t="s">
        <v>41</v>
      </c>
      <c r="D1093" s="4" t="s">
        <v>42</v>
      </c>
      <c r="E1093" s="4" t="s">
        <v>20</v>
      </c>
      <c r="F1093" s="4" t="s">
        <v>375</v>
      </c>
      <c r="G1093" s="4">
        <v>5.0</v>
      </c>
      <c r="H1093" s="6">
        <v>3220.9</v>
      </c>
      <c r="I1093" s="6">
        <v>16104.5</v>
      </c>
      <c r="J1093" s="6">
        <v>13116.18</v>
      </c>
      <c r="K1093" s="6">
        <v>2988.32</v>
      </c>
      <c r="L1093" s="4" t="str">
        <f t="shared" si="1"/>
        <v>Dec-2025</v>
      </c>
    </row>
    <row r="1094" ht="15.75" customHeight="1">
      <c r="A1094" s="4" t="s">
        <v>1416</v>
      </c>
      <c r="B1094" s="5">
        <v>45993.0</v>
      </c>
      <c r="C1094" s="4" t="s">
        <v>61</v>
      </c>
      <c r="D1094" s="4" t="s">
        <v>19</v>
      </c>
      <c r="E1094" s="4" t="s">
        <v>25</v>
      </c>
      <c r="F1094" s="4" t="s">
        <v>138</v>
      </c>
      <c r="G1094" s="4">
        <v>1.0</v>
      </c>
      <c r="H1094" s="6">
        <v>3055.49</v>
      </c>
      <c r="I1094" s="6">
        <v>3055.49</v>
      </c>
      <c r="J1094" s="6">
        <v>2652.06</v>
      </c>
      <c r="K1094" s="6">
        <v>403.43</v>
      </c>
      <c r="L1094" s="4" t="str">
        <f t="shared" si="1"/>
        <v>Dec-2025</v>
      </c>
    </row>
    <row r="1095" ht="15.75" customHeight="1">
      <c r="A1095" s="4" t="s">
        <v>1417</v>
      </c>
      <c r="B1095" s="5">
        <v>45993.0</v>
      </c>
      <c r="C1095" s="4" t="s">
        <v>72</v>
      </c>
      <c r="D1095" s="4" t="s">
        <v>24</v>
      </c>
      <c r="E1095" s="4" t="s">
        <v>29</v>
      </c>
      <c r="F1095" s="4" t="s">
        <v>673</v>
      </c>
      <c r="G1095" s="4">
        <v>5.0</v>
      </c>
      <c r="H1095" s="6">
        <v>16522.86</v>
      </c>
      <c r="I1095" s="6">
        <v>82614.3</v>
      </c>
      <c r="J1095" s="6">
        <v>63906.82</v>
      </c>
      <c r="K1095" s="6">
        <v>18707.48</v>
      </c>
      <c r="L1095" s="4" t="str">
        <f t="shared" si="1"/>
        <v>Dec-2025</v>
      </c>
    </row>
    <row r="1096" ht="15.75" customHeight="1">
      <c r="A1096" s="4" t="s">
        <v>1418</v>
      </c>
      <c r="B1096" s="5">
        <v>45993.0</v>
      </c>
      <c r="C1096" s="4" t="s">
        <v>72</v>
      </c>
      <c r="D1096" s="4" t="s">
        <v>24</v>
      </c>
      <c r="E1096" s="4" t="s">
        <v>29</v>
      </c>
      <c r="F1096" s="4" t="s">
        <v>713</v>
      </c>
      <c r="G1096" s="4">
        <v>6.0</v>
      </c>
      <c r="H1096" s="6">
        <v>7146.07</v>
      </c>
      <c r="I1096" s="6">
        <v>42876.42</v>
      </c>
      <c r="J1096" s="6">
        <v>33882.62</v>
      </c>
      <c r="K1096" s="6">
        <v>8993.8</v>
      </c>
      <c r="L1096" s="4" t="str">
        <f t="shared" si="1"/>
        <v>Dec-2025</v>
      </c>
    </row>
    <row r="1097" ht="15.75" customHeight="1">
      <c r="A1097" s="4" t="s">
        <v>1419</v>
      </c>
      <c r="B1097" s="5">
        <v>45993.0</v>
      </c>
      <c r="C1097" s="4" t="s">
        <v>180</v>
      </c>
      <c r="D1097" s="4" t="s">
        <v>19</v>
      </c>
      <c r="E1097" s="4" t="s">
        <v>15</v>
      </c>
      <c r="F1097" s="4" t="s">
        <v>334</v>
      </c>
      <c r="G1097" s="4">
        <v>3.0</v>
      </c>
      <c r="H1097" s="6">
        <v>74256.56</v>
      </c>
      <c r="I1097" s="6">
        <v>222769.68</v>
      </c>
      <c r="J1097" s="6">
        <v>187305.65</v>
      </c>
      <c r="K1097" s="6">
        <v>35464.03</v>
      </c>
      <c r="L1097" s="4" t="str">
        <f t="shared" si="1"/>
        <v>Dec-2025</v>
      </c>
    </row>
    <row r="1098" ht="15.75" customHeight="1">
      <c r="A1098" s="4" t="s">
        <v>1420</v>
      </c>
      <c r="B1098" s="5">
        <v>45993.0</v>
      </c>
      <c r="C1098" s="4" t="s">
        <v>66</v>
      </c>
      <c r="D1098" s="4" t="s">
        <v>42</v>
      </c>
      <c r="E1098" s="4" t="s">
        <v>15</v>
      </c>
      <c r="F1098" s="4" t="s">
        <v>288</v>
      </c>
      <c r="G1098" s="4">
        <v>1.0</v>
      </c>
      <c r="H1098" s="6">
        <v>2144.71</v>
      </c>
      <c r="I1098" s="6">
        <v>2144.71</v>
      </c>
      <c r="J1098" s="6">
        <v>1656.63</v>
      </c>
      <c r="K1098" s="6">
        <v>488.08</v>
      </c>
      <c r="L1098" s="4" t="str">
        <f t="shared" si="1"/>
        <v>Dec-2025</v>
      </c>
    </row>
    <row r="1099" ht="15.75" customHeight="1">
      <c r="A1099" s="4" t="s">
        <v>1421</v>
      </c>
      <c r="B1099" s="5">
        <v>45994.0</v>
      </c>
      <c r="C1099" s="4" t="s">
        <v>180</v>
      </c>
      <c r="D1099" s="4" t="s">
        <v>19</v>
      </c>
      <c r="E1099" s="4" t="s">
        <v>25</v>
      </c>
      <c r="F1099" s="4" t="s">
        <v>694</v>
      </c>
      <c r="G1099" s="4">
        <v>6.0</v>
      </c>
      <c r="H1099" s="6">
        <v>72782.67</v>
      </c>
      <c r="I1099" s="6">
        <v>436696.02</v>
      </c>
      <c r="J1099" s="6">
        <v>400608.41</v>
      </c>
      <c r="K1099" s="6">
        <v>36087.61</v>
      </c>
      <c r="L1099" s="4" t="str">
        <f t="shared" si="1"/>
        <v>Dec-2025</v>
      </c>
    </row>
    <row r="1100" ht="15.75" customHeight="1">
      <c r="A1100" s="4" t="s">
        <v>1422</v>
      </c>
      <c r="B1100" s="5">
        <v>45994.0</v>
      </c>
      <c r="C1100" s="4" t="s">
        <v>61</v>
      </c>
      <c r="D1100" s="4" t="s">
        <v>19</v>
      </c>
      <c r="E1100" s="4" t="s">
        <v>15</v>
      </c>
      <c r="F1100" s="4" t="s">
        <v>1114</v>
      </c>
      <c r="G1100" s="4">
        <v>6.0</v>
      </c>
      <c r="H1100" s="6">
        <v>70455.24</v>
      </c>
      <c r="I1100" s="6">
        <v>422731.44</v>
      </c>
      <c r="J1100" s="6">
        <v>352271.69</v>
      </c>
      <c r="K1100" s="6">
        <v>70459.75</v>
      </c>
      <c r="L1100" s="4" t="str">
        <f t="shared" si="1"/>
        <v>Dec-2025</v>
      </c>
    </row>
    <row r="1101" ht="15.75" customHeight="1">
      <c r="A1101" s="4" t="s">
        <v>1423</v>
      </c>
      <c r="B1101" s="5">
        <v>45994.0</v>
      </c>
      <c r="C1101" s="4" t="s">
        <v>160</v>
      </c>
      <c r="D1101" s="4" t="s">
        <v>42</v>
      </c>
      <c r="E1101" s="4" t="s">
        <v>15</v>
      </c>
      <c r="F1101" s="4" t="s">
        <v>386</v>
      </c>
      <c r="G1101" s="4">
        <v>3.0</v>
      </c>
      <c r="H1101" s="6">
        <v>2650.74</v>
      </c>
      <c r="I1101" s="6">
        <v>7952.22</v>
      </c>
      <c r="J1101" s="6">
        <v>6129.47</v>
      </c>
      <c r="K1101" s="6">
        <v>1822.75</v>
      </c>
      <c r="L1101" s="4" t="str">
        <f t="shared" si="1"/>
        <v>Dec-2025</v>
      </c>
    </row>
    <row r="1102" ht="15.75" customHeight="1">
      <c r="A1102" s="4" t="s">
        <v>1424</v>
      </c>
      <c r="B1102" s="5">
        <v>45994.0</v>
      </c>
      <c r="C1102" s="4" t="s">
        <v>13</v>
      </c>
      <c r="D1102" s="4" t="s">
        <v>14</v>
      </c>
      <c r="E1102" s="4" t="s">
        <v>15</v>
      </c>
      <c r="F1102" s="4" t="s">
        <v>93</v>
      </c>
      <c r="G1102" s="4">
        <v>7.0</v>
      </c>
      <c r="H1102" s="6">
        <v>945.46</v>
      </c>
      <c r="I1102" s="6">
        <v>6618.22</v>
      </c>
      <c r="J1102" s="6">
        <v>4834.51</v>
      </c>
      <c r="K1102" s="6">
        <v>1783.71</v>
      </c>
      <c r="L1102" s="4" t="str">
        <f t="shared" si="1"/>
        <v>Dec-2025</v>
      </c>
    </row>
    <row r="1103" ht="15.75" customHeight="1">
      <c r="A1103" s="4" t="s">
        <v>1425</v>
      </c>
      <c r="B1103" s="5">
        <v>45995.0</v>
      </c>
      <c r="C1103" s="4" t="s">
        <v>69</v>
      </c>
      <c r="D1103" s="4" t="s">
        <v>19</v>
      </c>
      <c r="E1103" s="4" t="s">
        <v>25</v>
      </c>
      <c r="F1103" s="4" t="s">
        <v>297</v>
      </c>
      <c r="G1103" s="4">
        <v>3.0</v>
      </c>
      <c r="H1103" s="6">
        <v>49175.53</v>
      </c>
      <c r="I1103" s="6">
        <v>147526.59</v>
      </c>
      <c r="J1103" s="6">
        <v>131754.18</v>
      </c>
      <c r="K1103" s="6">
        <v>15772.41</v>
      </c>
      <c r="L1103" s="4" t="str">
        <f t="shared" si="1"/>
        <v>Dec-2025</v>
      </c>
    </row>
    <row r="1104" ht="15.75" customHeight="1">
      <c r="A1104" s="4" t="s">
        <v>1426</v>
      </c>
      <c r="B1104" s="5">
        <v>45996.0</v>
      </c>
      <c r="C1104" s="4" t="s">
        <v>66</v>
      </c>
      <c r="D1104" s="4" t="s">
        <v>42</v>
      </c>
      <c r="E1104" s="4" t="s">
        <v>29</v>
      </c>
      <c r="F1104" s="4" t="s">
        <v>926</v>
      </c>
      <c r="G1104" s="4">
        <v>3.0</v>
      </c>
      <c r="H1104" s="6">
        <v>1114.77</v>
      </c>
      <c r="I1104" s="6">
        <v>3344.31</v>
      </c>
      <c r="J1104" s="6">
        <v>2576.68</v>
      </c>
      <c r="K1104" s="6">
        <v>767.63</v>
      </c>
      <c r="L1104" s="4" t="str">
        <f t="shared" si="1"/>
        <v>Dec-2025</v>
      </c>
    </row>
    <row r="1105" ht="15.75" customHeight="1">
      <c r="A1105" s="4" t="s">
        <v>1427</v>
      </c>
      <c r="B1105" s="5">
        <v>45996.0</v>
      </c>
      <c r="C1105" s="4" t="s">
        <v>72</v>
      </c>
      <c r="D1105" s="4" t="s">
        <v>24</v>
      </c>
      <c r="E1105" s="4" t="s">
        <v>29</v>
      </c>
      <c r="F1105" s="4" t="s">
        <v>55</v>
      </c>
      <c r="G1105" s="4">
        <v>5.0</v>
      </c>
      <c r="H1105" s="6">
        <v>9294.12</v>
      </c>
      <c r="I1105" s="6">
        <v>46470.6</v>
      </c>
      <c r="J1105" s="6">
        <v>36549.92</v>
      </c>
      <c r="K1105" s="6">
        <v>9920.68</v>
      </c>
      <c r="L1105" s="4" t="str">
        <f t="shared" si="1"/>
        <v>Dec-2025</v>
      </c>
    </row>
    <row r="1106" ht="15.75" customHeight="1">
      <c r="A1106" s="4" t="s">
        <v>1428</v>
      </c>
      <c r="B1106" s="5">
        <v>45996.0</v>
      </c>
      <c r="C1106" s="4" t="s">
        <v>102</v>
      </c>
      <c r="D1106" s="4" t="s">
        <v>24</v>
      </c>
      <c r="E1106" s="4" t="s">
        <v>15</v>
      </c>
      <c r="F1106" s="4" t="s">
        <v>175</v>
      </c>
      <c r="G1106" s="4">
        <v>4.0</v>
      </c>
      <c r="H1106" s="6">
        <v>8995.68</v>
      </c>
      <c r="I1106" s="6">
        <v>35982.72</v>
      </c>
      <c r="J1106" s="6">
        <v>31135.22</v>
      </c>
      <c r="K1106" s="6">
        <v>4847.5</v>
      </c>
      <c r="L1106" s="4" t="str">
        <f t="shared" si="1"/>
        <v>Dec-2025</v>
      </c>
    </row>
    <row r="1107" ht="15.75" customHeight="1">
      <c r="A1107" s="4" t="s">
        <v>1429</v>
      </c>
      <c r="B1107" s="5">
        <v>45996.0</v>
      </c>
      <c r="C1107" s="4" t="s">
        <v>140</v>
      </c>
      <c r="D1107" s="4" t="s">
        <v>14</v>
      </c>
      <c r="E1107" s="4" t="s">
        <v>15</v>
      </c>
      <c r="F1107" s="4" t="s">
        <v>309</v>
      </c>
      <c r="G1107" s="4">
        <v>4.0</v>
      </c>
      <c r="H1107" s="6">
        <v>860.0</v>
      </c>
      <c r="I1107" s="6">
        <v>3440.0</v>
      </c>
      <c r="J1107" s="6">
        <v>2820.42</v>
      </c>
      <c r="K1107" s="6">
        <v>619.58</v>
      </c>
      <c r="L1107" s="4" t="str">
        <f t="shared" si="1"/>
        <v>Dec-2025</v>
      </c>
    </row>
    <row r="1108" ht="15.75" customHeight="1">
      <c r="A1108" s="4" t="s">
        <v>1430</v>
      </c>
      <c r="B1108" s="5">
        <v>45997.0</v>
      </c>
      <c r="C1108" s="4" t="s">
        <v>75</v>
      </c>
      <c r="D1108" s="4" t="s">
        <v>24</v>
      </c>
      <c r="E1108" s="4" t="s">
        <v>15</v>
      </c>
      <c r="F1108" s="4" t="s">
        <v>352</v>
      </c>
      <c r="G1108" s="4">
        <v>2.0</v>
      </c>
      <c r="H1108" s="6">
        <v>2947.25</v>
      </c>
      <c r="I1108" s="6">
        <v>5894.5</v>
      </c>
      <c r="J1108" s="6">
        <v>5121.92</v>
      </c>
      <c r="K1108" s="6">
        <v>772.58</v>
      </c>
      <c r="L1108" s="4" t="str">
        <f t="shared" si="1"/>
        <v>Dec-2025</v>
      </c>
    </row>
    <row r="1109" ht="15.75" customHeight="1">
      <c r="A1109" s="4" t="s">
        <v>1431</v>
      </c>
      <c r="B1109" s="5">
        <v>45998.0</v>
      </c>
      <c r="C1109" s="4" t="s">
        <v>41</v>
      </c>
      <c r="D1109" s="4" t="s">
        <v>42</v>
      </c>
      <c r="E1109" s="4" t="s">
        <v>29</v>
      </c>
      <c r="F1109" s="4" t="s">
        <v>171</v>
      </c>
      <c r="G1109" s="4">
        <v>3.0</v>
      </c>
      <c r="H1109" s="6">
        <v>4928.84</v>
      </c>
      <c r="I1109" s="6">
        <v>14786.52</v>
      </c>
      <c r="J1109" s="6">
        <v>11935.45</v>
      </c>
      <c r="K1109" s="6">
        <v>2851.07</v>
      </c>
      <c r="L1109" s="4" t="str">
        <f t="shared" si="1"/>
        <v>Dec-2025</v>
      </c>
    </row>
    <row r="1110" ht="15.75" customHeight="1">
      <c r="A1110" s="4" t="s">
        <v>1432</v>
      </c>
      <c r="B1110" s="5">
        <v>45998.0</v>
      </c>
      <c r="C1110" s="4" t="s">
        <v>38</v>
      </c>
      <c r="D1110" s="4" t="s">
        <v>19</v>
      </c>
      <c r="E1110" s="4" t="s">
        <v>20</v>
      </c>
      <c r="F1110" s="4" t="s">
        <v>373</v>
      </c>
      <c r="G1110" s="4">
        <v>4.0</v>
      </c>
      <c r="H1110" s="6">
        <v>11884.33</v>
      </c>
      <c r="I1110" s="6">
        <v>47537.32</v>
      </c>
      <c r="J1110" s="6">
        <v>41057.99</v>
      </c>
      <c r="K1110" s="6">
        <v>6479.33</v>
      </c>
      <c r="L1110" s="4" t="str">
        <f t="shared" si="1"/>
        <v>Dec-2025</v>
      </c>
    </row>
    <row r="1111" ht="15.75" customHeight="1">
      <c r="A1111" s="4" t="s">
        <v>1433</v>
      </c>
      <c r="B1111" s="5">
        <v>45999.0</v>
      </c>
      <c r="C1111" s="4" t="s">
        <v>160</v>
      </c>
      <c r="D1111" s="4" t="s">
        <v>42</v>
      </c>
      <c r="E1111" s="4" t="s">
        <v>29</v>
      </c>
      <c r="F1111" s="4" t="s">
        <v>633</v>
      </c>
      <c r="G1111" s="4">
        <v>3.0</v>
      </c>
      <c r="H1111" s="6">
        <v>1755.09</v>
      </c>
      <c r="I1111" s="6">
        <v>5265.27</v>
      </c>
      <c r="J1111" s="6">
        <v>4493.96</v>
      </c>
      <c r="K1111" s="6">
        <v>771.31</v>
      </c>
      <c r="L1111" s="4" t="str">
        <f t="shared" si="1"/>
        <v>Dec-2025</v>
      </c>
    </row>
    <row r="1112" ht="15.75" customHeight="1">
      <c r="A1112" s="4" t="s">
        <v>1434</v>
      </c>
      <c r="B1112" s="5">
        <v>45999.0</v>
      </c>
      <c r="C1112" s="4" t="s">
        <v>32</v>
      </c>
      <c r="D1112" s="4" t="s">
        <v>19</v>
      </c>
      <c r="E1112" s="4" t="s">
        <v>25</v>
      </c>
      <c r="F1112" s="4" t="s">
        <v>641</v>
      </c>
      <c r="G1112" s="4">
        <v>6.0</v>
      </c>
      <c r="H1112" s="6">
        <v>6706.7</v>
      </c>
      <c r="I1112" s="6">
        <v>40240.2</v>
      </c>
      <c r="J1112" s="6">
        <v>33607.22</v>
      </c>
      <c r="K1112" s="6">
        <v>6632.98</v>
      </c>
      <c r="L1112" s="4" t="str">
        <f t="shared" si="1"/>
        <v>Dec-2025</v>
      </c>
    </row>
    <row r="1113" ht="15.75" customHeight="1">
      <c r="A1113" s="4" t="s">
        <v>1435</v>
      </c>
      <c r="B1113" s="5">
        <v>45999.0</v>
      </c>
      <c r="C1113" s="4" t="s">
        <v>61</v>
      </c>
      <c r="D1113" s="4" t="s">
        <v>19</v>
      </c>
      <c r="E1113" s="4" t="s">
        <v>29</v>
      </c>
      <c r="F1113" s="4" t="s">
        <v>561</v>
      </c>
      <c r="G1113" s="4">
        <v>4.0</v>
      </c>
      <c r="H1113" s="6">
        <v>867.21</v>
      </c>
      <c r="I1113" s="6">
        <v>3468.84</v>
      </c>
      <c r="J1113" s="6">
        <v>2893.61</v>
      </c>
      <c r="K1113" s="6">
        <v>575.23</v>
      </c>
      <c r="L1113" s="4" t="str">
        <f t="shared" si="1"/>
        <v>Dec-2025</v>
      </c>
    </row>
    <row r="1114" ht="15.75" customHeight="1">
      <c r="A1114" s="4" t="s">
        <v>1436</v>
      </c>
      <c r="B1114" s="5">
        <v>45999.0</v>
      </c>
      <c r="C1114" s="4" t="s">
        <v>23</v>
      </c>
      <c r="D1114" s="4" t="s">
        <v>24</v>
      </c>
      <c r="E1114" s="4" t="s">
        <v>15</v>
      </c>
      <c r="F1114" s="4" t="s">
        <v>369</v>
      </c>
      <c r="G1114" s="4">
        <v>2.0</v>
      </c>
      <c r="H1114" s="6">
        <v>1906.15</v>
      </c>
      <c r="I1114" s="6">
        <v>3812.3</v>
      </c>
      <c r="J1114" s="6">
        <v>3118.26</v>
      </c>
      <c r="K1114" s="6">
        <v>694.04</v>
      </c>
      <c r="L1114" s="4" t="str">
        <f t="shared" si="1"/>
        <v>Dec-2025</v>
      </c>
    </row>
    <row r="1115" ht="15.75" customHeight="1">
      <c r="A1115" s="4" t="s">
        <v>1437</v>
      </c>
      <c r="B1115" s="5">
        <v>45999.0</v>
      </c>
      <c r="C1115" s="4" t="s">
        <v>66</v>
      </c>
      <c r="D1115" s="4" t="s">
        <v>42</v>
      </c>
      <c r="E1115" s="4" t="s">
        <v>29</v>
      </c>
      <c r="F1115" s="4" t="s">
        <v>288</v>
      </c>
      <c r="G1115" s="4">
        <v>4.0</v>
      </c>
      <c r="H1115" s="6">
        <v>258.09</v>
      </c>
      <c r="I1115" s="6">
        <v>1032.36</v>
      </c>
      <c r="J1115" s="6">
        <v>893.71</v>
      </c>
      <c r="K1115" s="6">
        <v>138.65</v>
      </c>
      <c r="L1115" s="4" t="str">
        <f t="shared" si="1"/>
        <v>Dec-2025</v>
      </c>
    </row>
    <row r="1116" ht="15.75" customHeight="1">
      <c r="A1116" s="4" t="s">
        <v>1438</v>
      </c>
      <c r="B1116" s="5">
        <v>46000.0</v>
      </c>
      <c r="C1116" s="4" t="s">
        <v>155</v>
      </c>
      <c r="D1116" s="4" t="s">
        <v>24</v>
      </c>
      <c r="E1116" s="4" t="s">
        <v>29</v>
      </c>
      <c r="F1116" s="4" t="s">
        <v>213</v>
      </c>
      <c r="G1116" s="4">
        <v>6.0</v>
      </c>
      <c r="H1116" s="6">
        <v>10429.15</v>
      </c>
      <c r="I1116" s="6">
        <v>62574.9</v>
      </c>
      <c r="J1116" s="6">
        <v>48026.55</v>
      </c>
      <c r="K1116" s="6">
        <v>14548.35</v>
      </c>
      <c r="L1116" s="4" t="str">
        <f t="shared" si="1"/>
        <v>Dec-2025</v>
      </c>
    </row>
    <row r="1117" ht="15.75" customHeight="1">
      <c r="A1117" s="4" t="s">
        <v>1439</v>
      </c>
      <c r="B1117" s="5">
        <v>46000.0</v>
      </c>
      <c r="C1117" s="4" t="s">
        <v>66</v>
      </c>
      <c r="D1117" s="4" t="s">
        <v>42</v>
      </c>
      <c r="E1117" s="4" t="s">
        <v>20</v>
      </c>
      <c r="F1117" s="4" t="s">
        <v>375</v>
      </c>
      <c r="G1117" s="4">
        <v>4.0</v>
      </c>
      <c r="H1117" s="6">
        <v>462.13</v>
      </c>
      <c r="I1117" s="6">
        <v>1848.52</v>
      </c>
      <c r="J1117" s="6">
        <v>1533.51</v>
      </c>
      <c r="K1117" s="6">
        <v>315.01</v>
      </c>
      <c r="L1117" s="4" t="str">
        <f t="shared" si="1"/>
        <v>Dec-2025</v>
      </c>
    </row>
    <row r="1118" ht="15.75" customHeight="1">
      <c r="A1118" s="4" t="s">
        <v>1440</v>
      </c>
      <c r="B1118" s="5">
        <v>46000.0</v>
      </c>
      <c r="C1118" s="4" t="s">
        <v>28</v>
      </c>
      <c r="D1118" s="4" t="s">
        <v>14</v>
      </c>
      <c r="E1118" s="4" t="s">
        <v>25</v>
      </c>
      <c r="F1118" s="4" t="s">
        <v>189</v>
      </c>
      <c r="G1118" s="4">
        <v>3.0</v>
      </c>
      <c r="H1118" s="6">
        <v>203.26</v>
      </c>
      <c r="I1118" s="6">
        <v>609.78</v>
      </c>
      <c r="J1118" s="6">
        <v>513.35</v>
      </c>
      <c r="K1118" s="6">
        <v>96.43</v>
      </c>
      <c r="L1118" s="4" t="str">
        <f t="shared" si="1"/>
        <v>Dec-2025</v>
      </c>
    </row>
    <row r="1119" ht="15.75" customHeight="1">
      <c r="A1119" s="4" t="s">
        <v>1441</v>
      </c>
      <c r="B1119" s="5">
        <v>46001.0</v>
      </c>
      <c r="C1119" s="4" t="s">
        <v>28</v>
      </c>
      <c r="D1119" s="4" t="s">
        <v>14</v>
      </c>
      <c r="E1119" s="4" t="s">
        <v>29</v>
      </c>
      <c r="F1119" s="4" t="s">
        <v>741</v>
      </c>
      <c r="G1119" s="4">
        <v>6.0</v>
      </c>
      <c r="H1119" s="6">
        <v>1219.29</v>
      </c>
      <c r="I1119" s="6">
        <v>7315.74</v>
      </c>
      <c r="J1119" s="6">
        <v>5240.5</v>
      </c>
      <c r="K1119" s="6">
        <v>2075.24</v>
      </c>
      <c r="L1119" s="4" t="str">
        <f t="shared" si="1"/>
        <v>Dec-2025</v>
      </c>
    </row>
    <row r="1120" ht="15.75" customHeight="1">
      <c r="A1120" s="4" t="s">
        <v>1442</v>
      </c>
      <c r="B1120" s="5">
        <v>46001.0</v>
      </c>
      <c r="C1120" s="4" t="s">
        <v>61</v>
      </c>
      <c r="D1120" s="4" t="s">
        <v>19</v>
      </c>
      <c r="E1120" s="4" t="s">
        <v>20</v>
      </c>
      <c r="F1120" s="4" t="s">
        <v>175</v>
      </c>
      <c r="G1120" s="4">
        <v>3.0</v>
      </c>
      <c r="H1120" s="6">
        <v>71287.12</v>
      </c>
      <c r="I1120" s="6">
        <v>213861.36</v>
      </c>
      <c r="J1120" s="6">
        <v>176572.19</v>
      </c>
      <c r="K1120" s="6">
        <v>37289.17</v>
      </c>
      <c r="L1120" s="4" t="str">
        <f t="shared" si="1"/>
        <v>Dec-2025</v>
      </c>
    </row>
    <row r="1121" ht="15.75" customHeight="1">
      <c r="A1121" s="4" t="s">
        <v>1443</v>
      </c>
      <c r="B1121" s="5">
        <v>46002.0</v>
      </c>
      <c r="C1121" s="4" t="s">
        <v>72</v>
      </c>
      <c r="D1121" s="4" t="s">
        <v>24</v>
      </c>
      <c r="E1121" s="4" t="s">
        <v>29</v>
      </c>
      <c r="F1121" s="4" t="s">
        <v>478</v>
      </c>
      <c r="G1121" s="4">
        <v>7.0</v>
      </c>
      <c r="H1121" s="6">
        <v>5093.12</v>
      </c>
      <c r="I1121" s="6">
        <v>35651.84</v>
      </c>
      <c r="J1121" s="6">
        <v>30810.39</v>
      </c>
      <c r="K1121" s="6">
        <v>4841.45</v>
      </c>
      <c r="L1121" s="4" t="str">
        <f t="shared" si="1"/>
        <v>Dec-2025</v>
      </c>
    </row>
    <row r="1122" ht="15.75" customHeight="1">
      <c r="A1122" s="4" t="s">
        <v>1444</v>
      </c>
      <c r="B1122" s="5">
        <v>46002.0</v>
      </c>
      <c r="C1122" s="4" t="s">
        <v>38</v>
      </c>
      <c r="D1122" s="4" t="s">
        <v>19</v>
      </c>
      <c r="E1122" s="4" t="s">
        <v>25</v>
      </c>
      <c r="F1122" s="4" t="s">
        <v>820</v>
      </c>
      <c r="G1122" s="4">
        <v>4.0</v>
      </c>
      <c r="H1122" s="6">
        <v>28138.91</v>
      </c>
      <c r="I1122" s="6">
        <v>112555.64</v>
      </c>
      <c r="J1122" s="6">
        <v>91458.04</v>
      </c>
      <c r="K1122" s="6">
        <v>21097.6</v>
      </c>
      <c r="L1122" s="4" t="str">
        <f t="shared" si="1"/>
        <v>Dec-2025</v>
      </c>
    </row>
    <row r="1123" ht="15.75" customHeight="1">
      <c r="A1123" s="4" t="s">
        <v>1445</v>
      </c>
      <c r="B1123" s="5">
        <v>46002.0</v>
      </c>
      <c r="C1123" s="4" t="s">
        <v>66</v>
      </c>
      <c r="D1123" s="4" t="s">
        <v>42</v>
      </c>
      <c r="E1123" s="4" t="s">
        <v>15</v>
      </c>
      <c r="F1123" s="4" t="s">
        <v>64</v>
      </c>
      <c r="G1123" s="4">
        <v>7.0</v>
      </c>
      <c r="H1123" s="6">
        <v>3469.37</v>
      </c>
      <c r="I1123" s="6">
        <v>24285.59</v>
      </c>
      <c r="J1123" s="6">
        <v>21467.7</v>
      </c>
      <c r="K1123" s="6">
        <v>2817.89</v>
      </c>
      <c r="L1123" s="4" t="str">
        <f t="shared" si="1"/>
        <v>Dec-2025</v>
      </c>
    </row>
    <row r="1124" ht="15.75" customHeight="1">
      <c r="A1124" s="4" t="s">
        <v>1446</v>
      </c>
      <c r="B1124" s="5">
        <v>46002.0</v>
      </c>
      <c r="C1124" s="4" t="s">
        <v>155</v>
      </c>
      <c r="D1124" s="4" t="s">
        <v>24</v>
      </c>
      <c r="E1124" s="4" t="s">
        <v>29</v>
      </c>
      <c r="F1124" s="4" t="s">
        <v>626</v>
      </c>
      <c r="G1124" s="4">
        <v>4.0</v>
      </c>
      <c r="H1124" s="6">
        <v>6746.46</v>
      </c>
      <c r="I1124" s="6">
        <v>26985.84</v>
      </c>
      <c r="J1124" s="6">
        <v>23094.5</v>
      </c>
      <c r="K1124" s="6">
        <v>3891.34</v>
      </c>
      <c r="L1124" s="4" t="str">
        <f t="shared" si="1"/>
        <v>Dec-2025</v>
      </c>
    </row>
    <row r="1125" ht="15.75" customHeight="1">
      <c r="A1125" s="4" t="s">
        <v>1447</v>
      </c>
      <c r="B1125" s="5">
        <v>46003.0</v>
      </c>
      <c r="C1125" s="4" t="s">
        <v>47</v>
      </c>
      <c r="D1125" s="4" t="s">
        <v>14</v>
      </c>
      <c r="E1125" s="4" t="s">
        <v>20</v>
      </c>
      <c r="F1125" s="4" t="s">
        <v>95</v>
      </c>
      <c r="G1125" s="4">
        <v>7.0</v>
      </c>
      <c r="H1125" s="6">
        <v>1414.85</v>
      </c>
      <c r="I1125" s="6">
        <v>9903.95</v>
      </c>
      <c r="J1125" s="6">
        <v>7114.1</v>
      </c>
      <c r="K1125" s="6">
        <v>2789.85</v>
      </c>
      <c r="L1125" s="4" t="str">
        <f t="shared" si="1"/>
        <v>Dec-2025</v>
      </c>
    </row>
    <row r="1126" ht="15.75" customHeight="1">
      <c r="A1126" s="4" t="s">
        <v>1448</v>
      </c>
      <c r="B1126" s="5">
        <v>46003.0</v>
      </c>
      <c r="C1126" s="4" t="s">
        <v>38</v>
      </c>
      <c r="D1126" s="4" t="s">
        <v>19</v>
      </c>
      <c r="E1126" s="4" t="s">
        <v>25</v>
      </c>
      <c r="F1126" s="4" t="s">
        <v>710</v>
      </c>
      <c r="G1126" s="4">
        <v>6.0</v>
      </c>
      <c r="H1126" s="6">
        <v>59881.12</v>
      </c>
      <c r="I1126" s="6">
        <v>359286.72</v>
      </c>
      <c r="J1126" s="6">
        <v>318818.99</v>
      </c>
      <c r="K1126" s="6">
        <v>40467.73</v>
      </c>
      <c r="L1126" s="4" t="str">
        <f t="shared" si="1"/>
        <v>Dec-2025</v>
      </c>
    </row>
    <row r="1127" ht="15.75" customHeight="1">
      <c r="A1127" s="4" t="s">
        <v>1449</v>
      </c>
      <c r="B1127" s="5">
        <v>46003.0</v>
      </c>
      <c r="C1127" s="4" t="s">
        <v>92</v>
      </c>
      <c r="D1127" s="4" t="s">
        <v>14</v>
      </c>
      <c r="E1127" s="4" t="s">
        <v>15</v>
      </c>
      <c r="F1127" s="4" t="s">
        <v>84</v>
      </c>
      <c r="G1127" s="4">
        <v>4.0</v>
      </c>
      <c r="H1127" s="6">
        <v>412.5</v>
      </c>
      <c r="I1127" s="6">
        <v>1650.0</v>
      </c>
      <c r="J1127" s="6">
        <v>1211.97</v>
      </c>
      <c r="K1127" s="6">
        <v>438.03</v>
      </c>
      <c r="L1127" s="4" t="str">
        <f t="shared" si="1"/>
        <v>Dec-2025</v>
      </c>
    </row>
    <row r="1128" ht="15.75" customHeight="1">
      <c r="A1128" s="4" t="s">
        <v>1450</v>
      </c>
      <c r="B1128" s="5">
        <v>46003.0</v>
      </c>
      <c r="C1128" s="4" t="s">
        <v>102</v>
      </c>
      <c r="D1128" s="4" t="s">
        <v>24</v>
      </c>
      <c r="E1128" s="4" t="s">
        <v>25</v>
      </c>
      <c r="F1128" s="4" t="s">
        <v>795</v>
      </c>
      <c r="G1128" s="4">
        <v>3.0</v>
      </c>
      <c r="H1128" s="6">
        <v>6731.92</v>
      </c>
      <c r="I1128" s="6">
        <v>20195.76</v>
      </c>
      <c r="J1128" s="6">
        <v>14733.14</v>
      </c>
      <c r="K1128" s="6">
        <v>5462.62</v>
      </c>
      <c r="L1128" s="4" t="str">
        <f t="shared" si="1"/>
        <v>Dec-2025</v>
      </c>
    </row>
    <row r="1129" ht="15.75" customHeight="1">
      <c r="A1129" s="4" t="s">
        <v>1451</v>
      </c>
      <c r="B1129" s="5">
        <v>46003.0</v>
      </c>
      <c r="C1129" s="4" t="s">
        <v>28</v>
      </c>
      <c r="D1129" s="4" t="s">
        <v>14</v>
      </c>
      <c r="E1129" s="4" t="s">
        <v>29</v>
      </c>
      <c r="F1129" s="4" t="s">
        <v>673</v>
      </c>
      <c r="G1129" s="4">
        <v>1.0</v>
      </c>
      <c r="H1129" s="6">
        <v>1087.57</v>
      </c>
      <c r="I1129" s="6">
        <v>1087.57</v>
      </c>
      <c r="J1129" s="6">
        <v>770.0</v>
      </c>
      <c r="K1129" s="6">
        <v>317.57</v>
      </c>
      <c r="L1129" s="4" t="str">
        <f t="shared" si="1"/>
        <v>Dec-2025</v>
      </c>
    </row>
    <row r="1130" ht="15.75" customHeight="1">
      <c r="A1130" s="4" t="s">
        <v>1452</v>
      </c>
      <c r="B1130" s="5">
        <v>46003.0</v>
      </c>
      <c r="C1130" s="4" t="s">
        <v>38</v>
      </c>
      <c r="D1130" s="4" t="s">
        <v>19</v>
      </c>
      <c r="E1130" s="4" t="s">
        <v>29</v>
      </c>
      <c r="F1130" s="4" t="s">
        <v>195</v>
      </c>
      <c r="G1130" s="4">
        <v>1.0</v>
      </c>
      <c r="H1130" s="6">
        <v>52103.07</v>
      </c>
      <c r="I1130" s="6">
        <v>52103.07</v>
      </c>
      <c r="J1130" s="6">
        <v>46298.26</v>
      </c>
      <c r="K1130" s="6">
        <v>5804.81</v>
      </c>
      <c r="L1130" s="4" t="str">
        <f t="shared" si="1"/>
        <v>Dec-2025</v>
      </c>
    </row>
    <row r="1131" ht="15.75" customHeight="1">
      <c r="A1131" s="4" t="s">
        <v>1453</v>
      </c>
      <c r="B1131" s="5">
        <v>46004.0</v>
      </c>
      <c r="C1131" s="4" t="s">
        <v>47</v>
      </c>
      <c r="D1131" s="4" t="s">
        <v>14</v>
      </c>
      <c r="E1131" s="4" t="s">
        <v>15</v>
      </c>
      <c r="F1131" s="4" t="s">
        <v>84</v>
      </c>
      <c r="G1131" s="4">
        <v>7.0</v>
      </c>
      <c r="H1131" s="6">
        <v>1124.9</v>
      </c>
      <c r="I1131" s="6">
        <v>7874.3</v>
      </c>
      <c r="J1131" s="6">
        <v>5501.99</v>
      </c>
      <c r="K1131" s="6">
        <v>2372.31</v>
      </c>
      <c r="L1131" s="4" t="str">
        <f t="shared" si="1"/>
        <v>Dec-2025</v>
      </c>
    </row>
    <row r="1132" ht="15.75" customHeight="1">
      <c r="A1132" s="4" t="s">
        <v>1454</v>
      </c>
      <c r="B1132" s="5">
        <v>46004.0</v>
      </c>
      <c r="C1132" s="4" t="s">
        <v>75</v>
      </c>
      <c r="D1132" s="4" t="s">
        <v>24</v>
      </c>
      <c r="E1132" s="4" t="s">
        <v>29</v>
      </c>
      <c r="F1132" s="4" t="s">
        <v>39</v>
      </c>
      <c r="G1132" s="4">
        <v>2.0</v>
      </c>
      <c r="H1132" s="6">
        <v>13883.84</v>
      </c>
      <c r="I1132" s="6">
        <v>27767.68</v>
      </c>
      <c r="J1132" s="6">
        <v>24268.7</v>
      </c>
      <c r="K1132" s="6">
        <v>3498.98</v>
      </c>
      <c r="L1132" s="4" t="str">
        <f t="shared" si="1"/>
        <v>Dec-2025</v>
      </c>
    </row>
    <row r="1133" ht="15.75" customHeight="1">
      <c r="A1133" s="4" t="s">
        <v>1455</v>
      </c>
      <c r="B1133" s="5">
        <v>46004.0</v>
      </c>
      <c r="C1133" s="4" t="s">
        <v>69</v>
      </c>
      <c r="D1133" s="4" t="s">
        <v>19</v>
      </c>
      <c r="E1133" s="4" t="s">
        <v>20</v>
      </c>
      <c r="F1133" s="4" t="s">
        <v>369</v>
      </c>
      <c r="G1133" s="4">
        <v>4.0</v>
      </c>
      <c r="H1133" s="6">
        <v>53999.57</v>
      </c>
      <c r="I1133" s="6">
        <v>215998.28</v>
      </c>
      <c r="J1133" s="6">
        <v>175994.94</v>
      </c>
      <c r="K1133" s="6">
        <v>40003.34</v>
      </c>
      <c r="L1133" s="4" t="str">
        <f t="shared" si="1"/>
        <v>Dec-2025</v>
      </c>
    </row>
    <row r="1134" ht="15.75" customHeight="1">
      <c r="A1134" s="4" t="s">
        <v>1456</v>
      </c>
      <c r="B1134" s="5">
        <v>46004.0</v>
      </c>
      <c r="C1134" s="4" t="s">
        <v>155</v>
      </c>
      <c r="D1134" s="4" t="s">
        <v>24</v>
      </c>
      <c r="E1134" s="4" t="s">
        <v>29</v>
      </c>
      <c r="F1134" s="4" t="s">
        <v>459</v>
      </c>
      <c r="G1134" s="4">
        <v>5.0</v>
      </c>
      <c r="H1134" s="6">
        <v>7439.2</v>
      </c>
      <c r="I1134" s="6">
        <v>37196.0</v>
      </c>
      <c r="J1134" s="6">
        <v>27203.21</v>
      </c>
      <c r="K1134" s="6">
        <v>9992.79</v>
      </c>
      <c r="L1134" s="4" t="str">
        <f t="shared" si="1"/>
        <v>Dec-2025</v>
      </c>
    </row>
    <row r="1135" ht="15.75" customHeight="1">
      <c r="A1135" s="4" t="s">
        <v>1457</v>
      </c>
      <c r="B1135" s="5">
        <v>46005.0</v>
      </c>
      <c r="C1135" s="4" t="s">
        <v>18</v>
      </c>
      <c r="D1135" s="4" t="s">
        <v>19</v>
      </c>
      <c r="E1135" s="4" t="s">
        <v>25</v>
      </c>
      <c r="F1135" s="4" t="s">
        <v>330</v>
      </c>
      <c r="G1135" s="4">
        <v>3.0</v>
      </c>
      <c r="H1135" s="6">
        <v>4595.35</v>
      </c>
      <c r="I1135" s="6">
        <v>13786.05</v>
      </c>
      <c r="J1135" s="6">
        <v>12025.09</v>
      </c>
      <c r="K1135" s="6">
        <v>1760.96</v>
      </c>
      <c r="L1135" s="4" t="str">
        <f t="shared" si="1"/>
        <v>Dec-2025</v>
      </c>
    </row>
    <row r="1136" ht="15.75" customHeight="1">
      <c r="A1136" s="4" t="s">
        <v>1458</v>
      </c>
      <c r="B1136" s="5">
        <v>46005.0</v>
      </c>
      <c r="C1136" s="4" t="s">
        <v>13</v>
      </c>
      <c r="D1136" s="4" t="s">
        <v>14</v>
      </c>
      <c r="E1136" s="4" t="s">
        <v>29</v>
      </c>
      <c r="F1136" s="4" t="s">
        <v>143</v>
      </c>
      <c r="G1136" s="4">
        <v>6.0</v>
      </c>
      <c r="H1136" s="6">
        <v>120.4</v>
      </c>
      <c r="I1136" s="6">
        <v>722.4</v>
      </c>
      <c r="J1136" s="6">
        <v>603.99</v>
      </c>
      <c r="K1136" s="6">
        <v>118.41</v>
      </c>
      <c r="L1136" s="4" t="str">
        <f t="shared" si="1"/>
        <v>Dec-2025</v>
      </c>
    </row>
    <row r="1137" ht="15.75" customHeight="1">
      <c r="A1137" s="4" t="s">
        <v>1459</v>
      </c>
      <c r="B1137" s="5">
        <v>46006.0</v>
      </c>
      <c r="C1137" s="4" t="s">
        <v>28</v>
      </c>
      <c r="D1137" s="4" t="s">
        <v>14</v>
      </c>
      <c r="E1137" s="4" t="s">
        <v>25</v>
      </c>
      <c r="F1137" s="4" t="s">
        <v>405</v>
      </c>
      <c r="G1137" s="4">
        <v>1.0</v>
      </c>
      <c r="H1137" s="6">
        <v>987.29</v>
      </c>
      <c r="I1137" s="6">
        <v>987.29</v>
      </c>
      <c r="J1137" s="6">
        <v>833.43</v>
      </c>
      <c r="K1137" s="6">
        <v>153.86</v>
      </c>
      <c r="L1137" s="4" t="str">
        <f t="shared" si="1"/>
        <v>Dec-2025</v>
      </c>
    </row>
    <row r="1138" ht="15.75" customHeight="1">
      <c r="A1138" s="4" t="s">
        <v>1460</v>
      </c>
      <c r="B1138" s="5">
        <v>46006.0</v>
      </c>
      <c r="C1138" s="4" t="s">
        <v>109</v>
      </c>
      <c r="D1138" s="4" t="s">
        <v>42</v>
      </c>
      <c r="E1138" s="4" t="s">
        <v>15</v>
      </c>
      <c r="F1138" s="4" t="s">
        <v>293</v>
      </c>
      <c r="G1138" s="4">
        <v>5.0</v>
      </c>
      <c r="H1138" s="6">
        <v>546.62</v>
      </c>
      <c r="I1138" s="6">
        <v>2733.1</v>
      </c>
      <c r="J1138" s="6">
        <v>2260.84</v>
      </c>
      <c r="K1138" s="6">
        <v>472.26</v>
      </c>
      <c r="L1138" s="4" t="str">
        <f t="shared" si="1"/>
        <v>Dec-2025</v>
      </c>
    </row>
    <row r="1139" ht="15.75" customHeight="1">
      <c r="A1139" s="4" t="s">
        <v>1461</v>
      </c>
      <c r="B1139" s="5">
        <v>46006.0</v>
      </c>
      <c r="C1139" s="4" t="s">
        <v>41</v>
      </c>
      <c r="D1139" s="4" t="s">
        <v>42</v>
      </c>
      <c r="E1139" s="4" t="s">
        <v>20</v>
      </c>
      <c r="F1139" s="4" t="s">
        <v>311</v>
      </c>
      <c r="G1139" s="4">
        <v>6.0</v>
      </c>
      <c r="H1139" s="6">
        <v>879.43</v>
      </c>
      <c r="I1139" s="6">
        <v>5276.58</v>
      </c>
      <c r="J1139" s="6">
        <v>4086.77</v>
      </c>
      <c r="K1139" s="6">
        <v>1189.81</v>
      </c>
      <c r="L1139" s="4" t="str">
        <f t="shared" si="1"/>
        <v>Dec-2025</v>
      </c>
    </row>
    <row r="1140" ht="15.75" customHeight="1">
      <c r="A1140" s="4" t="s">
        <v>1462</v>
      </c>
      <c r="B1140" s="5">
        <v>46006.0</v>
      </c>
      <c r="C1140" s="4" t="s">
        <v>69</v>
      </c>
      <c r="D1140" s="4" t="s">
        <v>19</v>
      </c>
      <c r="E1140" s="4" t="s">
        <v>15</v>
      </c>
      <c r="F1140" s="4" t="s">
        <v>197</v>
      </c>
      <c r="G1140" s="4">
        <v>5.0</v>
      </c>
      <c r="H1140" s="6">
        <v>6997.55</v>
      </c>
      <c r="I1140" s="6">
        <v>34987.75</v>
      </c>
      <c r="J1140" s="6">
        <v>31302.31</v>
      </c>
      <c r="K1140" s="6">
        <v>3685.44</v>
      </c>
      <c r="L1140" s="4" t="str">
        <f t="shared" si="1"/>
        <v>Dec-2025</v>
      </c>
    </row>
    <row r="1141" ht="15.75" customHeight="1">
      <c r="A1141" s="4" t="s">
        <v>1463</v>
      </c>
      <c r="B1141" s="5">
        <v>46006.0</v>
      </c>
      <c r="C1141" s="4" t="s">
        <v>75</v>
      </c>
      <c r="D1141" s="4" t="s">
        <v>24</v>
      </c>
      <c r="E1141" s="4" t="s">
        <v>29</v>
      </c>
      <c r="F1141" s="4" t="s">
        <v>352</v>
      </c>
      <c r="G1141" s="4">
        <v>2.0</v>
      </c>
      <c r="H1141" s="6">
        <v>10109.09</v>
      </c>
      <c r="I1141" s="6">
        <v>20218.18</v>
      </c>
      <c r="J1141" s="6">
        <v>16260.48</v>
      </c>
      <c r="K1141" s="6">
        <v>3957.7</v>
      </c>
      <c r="L1141" s="4" t="str">
        <f t="shared" si="1"/>
        <v>Dec-2025</v>
      </c>
    </row>
    <row r="1142" ht="15.75" customHeight="1">
      <c r="A1142" s="4" t="s">
        <v>1464</v>
      </c>
      <c r="B1142" s="5">
        <v>46006.0</v>
      </c>
      <c r="C1142" s="4" t="s">
        <v>18</v>
      </c>
      <c r="D1142" s="4" t="s">
        <v>19</v>
      </c>
      <c r="E1142" s="4" t="s">
        <v>25</v>
      </c>
      <c r="F1142" s="4" t="s">
        <v>39</v>
      </c>
      <c r="G1142" s="4">
        <v>1.0</v>
      </c>
      <c r="H1142" s="6">
        <v>17270.33</v>
      </c>
      <c r="I1142" s="6">
        <v>17270.33</v>
      </c>
      <c r="J1142" s="6">
        <v>15409.82</v>
      </c>
      <c r="K1142" s="6">
        <v>1860.51</v>
      </c>
      <c r="L1142" s="4" t="str">
        <f t="shared" si="1"/>
        <v>Dec-2025</v>
      </c>
    </row>
    <row r="1143" ht="15.75" customHeight="1">
      <c r="A1143" s="4" t="s">
        <v>1465</v>
      </c>
      <c r="B1143" s="5">
        <v>46007.0</v>
      </c>
      <c r="C1143" s="4" t="s">
        <v>41</v>
      </c>
      <c r="D1143" s="4" t="s">
        <v>42</v>
      </c>
      <c r="E1143" s="4" t="s">
        <v>29</v>
      </c>
      <c r="F1143" s="4" t="s">
        <v>229</v>
      </c>
      <c r="G1143" s="4">
        <v>3.0</v>
      </c>
      <c r="H1143" s="6">
        <v>349.35</v>
      </c>
      <c r="I1143" s="6">
        <v>1048.05</v>
      </c>
      <c r="J1143" s="6">
        <v>942.64</v>
      </c>
      <c r="K1143" s="6">
        <v>105.41</v>
      </c>
      <c r="L1143" s="4" t="str">
        <f t="shared" si="1"/>
        <v>Dec-2025</v>
      </c>
    </row>
    <row r="1144" ht="15.75" customHeight="1">
      <c r="A1144" s="4" t="s">
        <v>1466</v>
      </c>
      <c r="B1144" s="5">
        <v>46007.0</v>
      </c>
      <c r="C1144" s="4" t="s">
        <v>66</v>
      </c>
      <c r="D1144" s="4" t="s">
        <v>42</v>
      </c>
      <c r="E1144" s="4" t="s">
        <v>15</v>
      </c>
      <c r="F1144" s="4" t="s">
        <v>97</v>
      </c>
      <c r="G1144" s="4">
        <v>7.0</v>
      </c>
      <c r="H1144" s="6">
        <v>4259.14</v>
      </c>
      <c r="I1144" s="6">
        <v>29813.98</v>
      </c>
      <c r="J1144" s="6">
        <v>24280.08</v>
      </c>
      <c r="K1144" s="6">
        <v>5533.9</v>
      </c>
      <c r="L1144" s="4" t="str">
        <f t="shared" si="1"/>
        <v>Dec-2025</v>
      </c>
    </row>
    <row r="1145" ht="15.75" customHeight="1">
      <c r="A1145" s="4" t="s">
        <v>1467</v>
      </c>
      <c r="B1145" s="5">
        <v>46008.0</v>
      </c>
      <c r="C1145" s="4" t="s">
        <v>155</v>
      </c>
      <c r="D1145" s="4" t="s">
        <v>24</v>
      </c>
      <c r="E1145" s="4" t="s">
        <v>20</v>
      </c>
      <c r="F1145" s="4" t="s">
        <v>99</v>
      </c>
      <c r="G1145" s="4">
        <v>6.0</v>
      </c>
      <c r="H1145" s="6">
        <v>9715.88</v>
      </c>
      <c r="I1145" s="6">
        <v>58295.28</v>
      </c>
      <c r="J1145" s="6">
        <v>46404.75</v>
      </c>
      <c r="K1145" s="6">
        <v>11890.53</v>
      </c>
      <c r="L1145" s="4" t="str">
        <f t="shared" si="1"/>
        <v>Dec-2025</v>
      </c>
    </row>
    <row r="1146" ht="15.75" customHeight="1">
      <c r="A1146" s="4" t="s">
        <v>1468</v>
      </c>
      <c r="B1146" s="5">
        <v>46009.0</v>
      </c>
      <c r="C1146" s="4" t="s">
        <v>140</v>
      </c>
      <c r="D1146" s="4" t="s">
        <v>14</v>
      </c>
      <c r="E1146" s="4" t="s">
        <v>25</v>
      </c>
      <c r="F1146" s="4" t="s">
        <v>225</v>
      </c>
      <c r="G1146" s="4">
        <v>7.0</v>
      </c>
      <c r="H1146" s="6">
        <v>306.87</v>
      </c>
      <c r="I1146" s="6">
        <v>2148.09</v>
      </c>
      <c r="J1146" s="6">
        <v>1480.93</v>
      </c>
      <c r="K1146" s="6">
        <v>667.16</v>
      </c>
      <c r="L1146" s="4" t="str">
        <f t="shared" si="1"/>
        <v>Dec-2025</v>
      </c>
    </row>
    <row r="1147" ht="15.75" customHeight="1">
      <c r="A1147" s="4" t="s">
        <v>1469</v>
      </c>
      <c r="B1147" s="5">
        <v>46009.0</v>
      </c>
      <c r="C1147" s="4" t="s">
        <v>66</v>
      </c>
      <c r="D1147" s="4" t="s">
        <v>42</v>
      </c>
      <c r="E1147" s="4" t="s">
        <v>25</v>
      </c>
      <c r="F1147" s="4" t="s">
        <v>352</v>
      </c>
      <c r="G1147" s="4">
        <v>6.0</v>
      </c>
      <c r="H1147" s="6">
        <v>4099.17</v>
      </c>
      <c r="I1147" s="6">
        <v>24595.02</v>
      </c>
      <c r="J1147" s="6">
        <v>19989.98</v>
      </c>
      <c r="K1147" s="6">
        <v>4605.04</v>
      </c>
      <c r="L1147" s="4" t="str">
        <f t="shared" si="1"/>
        <v>Dec-2025</v>
      </c>
    </row>
    <row r="1148" ht="15.75" customHeight="1">
      <c r="A1148" s="4" t="s">
        <v>1470</v>
      </c>
      <c r="B1148" s="5">
        <v>46009.0</v>
      </c>
      <c r="C1148" s="4" t="s">
        <v>66</v>
      </c>
      <c r="D1148" s="4" t="s">
        <v>42</v>
      </c>
      <c r="E1148" s="4" t="s">
        <v>15</v>
      </c>
      <c r="F1148" s="4" t="s">
        <v>169</v>
      </c>
      <c r="G1148" s="4">
        <v>6.0</v>
      </c>
      <c r="H1148" s="6">
        <v>4575.27</v>
      </c>
      <c r="I1148" s="6">
        <v>27451.62</v>
      </c>
      <c r="J1148" s="6">
        <v>22534.09</v>
      </c>
      <c r="K1148" s="6">
        <v>4917.53</v>
      </c>
      <c r="L1148" s="4" t="str">
        <f t="shared" si="1"/>
        <v>Dec-2025</v>
      </c>
    </row>
    <row r="1149" ht="15.75" customHeight="1">
      <c r="A1149" s="4" t="s">
        <v>1471</v>
      </c>
      <c r="B1149" s="5">
        <v>46009.0</v>
      </c>
      <c r="C1149" s="4" t="s">
        <v>66</v>
      </c>
      <c r="D1149" s="4" t="s">
        <v>42</v>
      </c>
      <c r="E1149" s="4" t="s">
        <v>20</v>
      </c>
      <c r="F1149" s="4" t="s">
        <v>84</v>
      </c>
      <c r="G1149" s="4">
        <v>5.0</v>
      </c>
      <c r="H1149" s="6">
        <v>2312.87</v>
      </c>
      <c r="I1149" s="6">
        <v>11564.35</v>
      </c>
      <c r="J1149" s="6">
        <v>9126.13</v>
      </c>
      <c r="K1149" s="6">
        <v>2438.22</v>
      </c>
      <c r="L1149" s="4" t="str">
        <f t="shared" si="1"/>
        <v>Dec-2025</v>
      </c>
    </row>
    <row r="1150" ht="15.75" customHeight="1">
      <c r="A1150" s="4" t="s">
        <v>1472</v>
      </c>
      <c r="B1150" s="5">
        <v>46010.0</v>
      </c>
      <c r="C1150" s="4" t="s">
        <v>35</v>
      </c>
      <c r="D1150" s="4" t="s">
        <v>14</v>
      </c>
      <c r="E1150" s="4" t="s">
        <v>25</v>
      </c>
      <c r="F1150" s="4" t="s">
        <v>626</v>
      </c>
      <c r="G1150" s="4">
        <v>6.0</v>
      </c>
      <c r="H1150" s="6">
        <v>873.99</v>
      </c>
      <c r="I1150" s="6">
        <v>5243.94</v>
      </c>
      <c r="J1150" s="6">
        <v>4159.8</v>
      </c>
      <c r="K1150" s="6">
        <v>1084.14</v>
      </c>
      <c r="L1150" s="4" t="str">
        <f t="shared" si="1"/>
        <v>Dec-2025</v>
      </c>
    </row>
    <row r="1151" ht="15.75" customHeight="1">
      <c r="A1151" s="4" t="s">
        <v>1473</v>
      </c>
      <c r="B1151" s="5">
        <v>46010.0</v>
      </c>
      <c r="C1151" s="4" t="s">
        <v>72</v>
      </c>
      <c r="D1151" s="4" t="s">
        <v>24</v>
      </c>
      <c r="E1151" s="4" t="s">
        <v>25</v>
      </c>
      <c r="F1151" s="4" t="s">
        <v>268</v>
      </c>
      <c r="G1151" s="4">
        <v>1.0</v>
      </c>
      <c r="H1151" s="6">
        <v>15967.83</v>
      </c>
      <c r="I1151" s="6">
        <v>15967.83</v>
      </c>
      <c r="J1151" s="6">
        <v>11945.18</v>
      </c>
      <c r="K1151" s="6">
        <v>4022.65</v>
      </c>
      <c r="L1151" s="4" t="str">
        <f t="shared" si="1"/>
        <v>Dec-2025</v>
      </c>
    </row>
    <row r="1152" ht="15.75" customHeight="1">
      <c r="A1152" s="4" t="s">
        <v>1474</v>
      </c>
      <c r="B1152" s="5">
        <v>46011.0</v>
      </c>
      <c r="C1152" s="4" t="s">
        <v>18</v>
      </c>
      <c r="D1152" s="4" t="s">
        <v>19</v>
      </c>
      <c r="E1152" s="4" t="s">
        <v>25</v>
      </c>
      <c r="F1152" s="4" t="s">
        <v>219</v>
      </c>
      <c r="G1152" s="4">
        <v>6.0</v>
      </c>
      <c r="H1152" s="6">
        <v>43495.38</v>
      </c>
      <c r="I1152" s="6">
        <v>260972.28</v>
      </c>
      <c r="J1152" s="6">
        <v>239401.1</v>
      </c>
      <c r="K1152" s="6">
        <v>21571.18</v>
      </c>
      <c r="L1152" s="4" t="str">
        <f t="shared" si="1"/>
        <v>Dec-2025</v>
      </c>
    </row>
    <row r="1153" ht="15.75" customHeight="1">
      <c r="A1153" s="4" t="s">
        <v>1475</v>
      </c>
      <c r="B1153" s="5">
        <v>46012.0</v>
      </c>
      <c r="C1153" s="4" t="s">
        <v>72</v>
      </c>
      <c r="D1153" s="4" t="s">
        <v>24</v>
      </c>
      <c r="E1153" s="4" t="s">
        <v>29</v>
      </c>
      <c r="F1153" s="4" t="s">
        <v>288</v>
      </c>
      <c r="G1153" s="4">
        <v>5.0</v>
      </c>
      <c r="H1153" s="6">
        <v>15654.7</v>
      </c>
      <c r="I1153" s="6">
        <v>78273.5</v>
      </c>
      <c r="J1153" s="6">
        <v>61605.0</v>
      </c>
      <c r="K1153" s="6">
        <v>16668.5</v>
      </c>
      <c r="L1153" s="4" t="str">
        <f t="shared" si="1"/>
        <v>Dec-2025</v>
      </c>
    </row>
    <row r="1154" ht="15.75" customHeight="1">
      <c r="A1154" s="4" t="s">
        <v>1476</v>
      </c>
      <c r="B1154" s="5">
        <v>46012.0</v>
      </c>
      <c r="C1154" s="4" t="s">
        <v>50</v>
      </c>
      <c r="D1154" s="4" t="s">
        <v>42</v>
      </c>
      <c r="E1154" s="4" t="s">
        <v>25</v>
      </c>
      <c r="F1154" s="4" t="s">
        <v>856</v>
      </c>
      <c r="G1154" s="4">
        <v>4.0</v>
      </c>
      <c r="H1154" s="6">
        <v>3830.97</v>
      </c>
      <c r="I1154" s="6">
        <v>15323.88</v>
      </c>
      <c r="J1154" s="6">
        <v>13698.78</v>
      </c>
      <c r="K1154" s="6">
        <v>1625.1</v>
      </c>
      <c r="L1154" s="4" t="str">
        <f t="shared" si="1"/>
        <v>Dec-2025</v>
      </c>
    </row>
    <row r="1155" ht="15.75" customHeight="1">
      <c r="A1155" s="4" t="s">
        <v>1477</v>
      </c>
      <c r="B1155" s="5">
        <v>46012.0</v>
      </c>
      <c r="C1155" s="4" t="s">
        <v>13</v>
      </c>
      <c r="D1155" s="4" t="s">
        <v>14</v>
      </c>
      <c r="E1155" s="4" t="s">
        <v>20</v>
      </c>
      <c r="F1155" s="4" t="s">
        <v>461</v>
      </c>
      <c r="G1155" s="4">
        <v>1.0</v>
      </c>
      <c r="H1155" s="6">
        <v>824.77</v>
      </c>
      <c r="I1155" s="6">
        <v>824.77</v>
      </c>
      <c r="J1155" s="6">
        <v>659.32</v>
      </c>
      <c r="K1155" s="6">
        <v>165.45</v>
      </c>
      <c r="L1155" s="4" t="str">
        <f t="shared" si="1"/>
        <v>Dec-2025</v>
      </c>
    </row>
    <row r="1156" ht="15.75" customHeight="1">
      <c r="A1156" s="4" t="s">
        <v>1478</v>
      </c>
      <c r="B1156" s="5">
        <v>46012.0</v>
      </c>
      <c r="C1156" s="4" t="s">
        <v>13</v>
      </c>
      <c r="D1156" s="4" t="s">
        <v>14</v>
      </c>
      <c r="E1156" s="4" t="s">
        <v>15</v>
      </c>
      <c r="F1156" s="4" t="s">
        <v>1030</v>
      </c>
      <c r="G1156" s="4">
        <v>3.0</v>
      </c>
      <c r="H1156" s="6">
        <v>527.65</v>
      </c>
      <c r="I1156" s="6">
        <v>1582.95</v>
      </c>
      <c r="J1156" s="6">
        <v>1117.7</v>
      </c>
      <c r="K1156" s="6">
        <v>465.25</v>
      </c>
      <c r="L1156" s="4" t="str">
        <f t="shared" si="1"/>
        <v>Dec-2025</v>
      </c>
    </row>
    <row r="1157" ht="15.75" customHeight="1">
      <c r="A1157" s="4" t="s">
        <v>1479</v>
      </c>
      <c r="B1157" s="5">
        <v>46013.0</v>
      </c>
      <c r="C1157" s="4" t="s">
        <v>72</v>
      </c>
      <c r="D1157" s="4" t="s">
        <v>24</v>
      </c>
      <c r="E1157" s="4" t="s">
        <v>15</v>
      </c>
      <c r="F1157" s="4" t="s">
        <v>93</v>
      </c>
      <c r="G1157" s="4">
        <v>3.0</v>
      </c>
      <c r="H1157" s="6">
        <v>12760.93</v>
      </c>
      <c r="I1157" s="6">
        <v>38282.79</v>
      </c>
      <c r="J1157" s="6">
        <v>29759.48</v>
      </c>
      <c r="K1157" s="6">
        <v>8523.31</v>
      </c>
      <c r="L1157" s="4" t="str">
        <f t="shared" si="1"/>
        <v>Dec-2025</v>
      </c>
    </row>
    <row r="1158" ht="15.75" customHeight="1">
      <c r="A1158" s="4" t="s">
        <v>1480</v>
      </c>
      <c r="B1158" s="5">
        <v>46013.0</v>
      </c>
      <c r="C1158" s="4" t="s">
        <v>18</v>
      </c>
      <c r="D1158" s="4" t="s">
        <v>19</v>
      </c>
      <c r="E1158" s="4" t="s">
        <v>25</v>
      </c>
      <c r="F1158" s="4" t="s">
        <v>55</v>
      </c>
      <c r="G1158" s="4">
        <v>3.0</v>
      </c>
      <c r="H1158" s="6">
        <v>23904.06</v>
      </c>
      <c r="I1158" s="6">
        <v>71712.18</v>
      </c>
      <c r="J1158" s="6">
        <v>58472.98</v>
      </c>
      <c r="K1158" s="6">
        <v>13239.2</v>
      </c>
      <c r="L1158" s="4" t="str">
        <f t="shared" si="1"/>
        <v>Dec-2025</v>
      </c>
    </row>
    <row r="1159" ht="15.75" customHeight="1">
      <c r="A1159" s="4" t="s">
        <v>1481</v>
      </c>
      <c r="B1159" s="5">
        <v>46013.0</v>
      </c>
      <c r="C1159" s="4" t="s">
        <v>109</v>
      </c>
      <c r="D1159" s="4" t="s">
        <v>42</v>
      </c>
      <c r="E1159" s="4" t="s">
        <v>29</v>
      </c>
      <c r="F1159" s="4" t="s">
        <v>485</v>
      </c>
      <c r="G1159" s="4">
        <v>4.0</v>
      </c>
      <c r="H1159" s="6">
        <v>1981.11</v>
      </c>
      <c r="I1159" s="6">
        <v>7924.44</v>
      </c>
      <c r="J1159" s="6">
        <v>6138.82</v>
      </c>
      <c r="K1159" s="6">
        <v>1785.62</v>
      </c>
      <c r="L1159" s="4" t="str">
        <f t="shared" si="1"/>
        <v>Dec-2025</v>
      </c>
    </row>
    <row r="1160" ht="15.75" customHeight="1">
      <c r="A1160" s="4" t="s">
        <v>1482</v>
      </c>
      <c r="B1160" s="5">
        <v>46013.0</v>
      </c>
      <c r="C1160" s="4" t="s">
        <v>102</v>
      </c>
      <c r="D1160" s="4" t="s">
        <v>24</v>
      </c>
      <c r="E1160" s="4" t="s">
        <v>29</v>
      </c>
      <c r="F1160" s="4" t="s">
        <v>309</v>
      </c>
      <c r="G1160" s="4">
        <v>2.0</v>
      </c>
      <c r="H1160" s="6">
        <v>6023.63</v>
      </c>
      <c r="I1160" s="6">
        <v>12047.26</v>
      </c>
      <c r="J1160" s="6">
        <v>8982.89</v>
      </c>
      <c r="K1160" s="6">
        <v>3064.37</v>
      </c>
      <c r="L1160" s="4" t="str">
        <f t="shared" si="1"/>
        <v>Dec-2025</v>
      </c>
    </row>
    <row r="1161" ht="15.75" customHeight="1">
      <c r="A1161" s="4" t="s">
        <v>1483</v>
      </c>
      <c r="B1161" s="5">
        <v>46013.0</v>
      </c>
      <c r="C1161" s="4" t="s">
        <v>47</v>
      </c>
      <c r="D1161" s="4" t="s">
        <v>14</v>
      </c>
      <c r="E1161" s="4" t="s">
        <v>29</v>
      </c>
      <c r="F1161" s="4" t="s">
        <v>266</v>
      </c>
      <c r="G1161" s="4">
        <v>5.0</v>
      </c>
      <c r="H1161" s="6">
        <v>1130.0</v>
      </c>
      <c r="I1161" s="6">
        <v>5650.0</v>
      </c>
      <c r="J1161" s="6">
        <v>4742.46</v>
      </c>
      <c r="K1161" s="6">
        <v>907.54</v>
      </c>
      <c r="L1161" s="4" t="str">
        <f t="shared" si="1"/>
        <v>Dec-2025</v>
      </c>
    </row>
    <row r="1162" ht="15.75" customHeight="1">
      <c r="A1162" s="4" t="s">
        <v>1484</v>
      </c>
      <c r="B1162" s="5">
        <v>46013.0</v>
      </c>
      <c r="C1162" s="4" t="s">
        <v>50</v>
      </c>
      <c r="D1162" s="4" t="s">
        <v>42</v>
      </c>
      <c r="E1162" s="4" t="s">
        <v>20</v>
      </c>
      <c r="F1162" s="4" t="s">
        <v>123</v>
      </c>
      <c r="G1162" s="4">
        <v>1.0</v>
      </c>
      <c r="H1162" s="6">
        <v>4557.25</v>
      </c>
      <c r="I1162" s="6">
        <v>4557.25</v>
      </c>
      <c r="J1162" s="6">
        <v>3560.59</v>
      </c>
      <c r="K1162" s="6">
        <v>996.66</v>
      </c>
      <c r="L1162" s="4" t="str">
        <f t="shared" si="1"/>
        <v>Dec-2025</v>
      </c>
    </row>
    <row r="1163" ht="15.75" customHeight="1">
      <c r="A1163" s="4" t="s">
        <v>1485</v>
      </c>
      <c r="B1163" s="5">
        <v>46013.0</v>
      </c>
      <c r="C1163" s="4" t="s">
        <v>109</v>
      </c>
      <c r="D1163" s="4" t="s">
        <v>42</v>
      </c>
      <c r="E1163" s="4" t="s">
        <v>20</v>
      </c>
      <c r="F1163" s="4" t="s">
        <v>266</v>
      </c>
      <c r="G1163" s="4">
        <v>3.0</v>
      </c>
      <c r="H1163" s="6">
        <v>1643.15</v>
      </c>
      <c r="I1163" s="6">
        <v>4929.45</v>
      </c>
      <c r="J1163" s="6">
        <v>3788.33</v>
      </c>
      <c r="K1163" s="6">
        <v>1141.12</v>
      </c>
      <c r="L1163" s="4" t="str">
        <f t="shared" si="1"/>
        <v>Dec-2025</v>
      </c>
    </row>
    <row r="1164" ht="15.75" customHeight="1">
      <c r="A1164" s="4" t="s">
        <v>1486</v>
      </c>
      <c r="B1164" s="5">
        <v>46013.0</v>
      </c>
      <c r="C1164" s="4" t="s">
        <v>155</v>
      </c>
      <c r="D1164" s="4" t="s">
        <v>24</v>
      </c>
      <c r="E1164" s="4" t="s">
        <v>29</v>
      </c>
      <c r="F1164" s="4" t="s">
        <v>1487</v>
      </c>
      <c r="G1164" s="4">
        <v>2.0</v>
      </c>
      <c r="H1164" s="6">
        <v>4369.01</v>
      </c>
      <c r="I1164" s="6">
        <v>8738.02</v>
      </c>
      <c r="J1164" s="6">
        <v>7296.2</v>
      </c>
      <c r="K1164" s="6">
        <v>1441.82</v>
      </c>
      <c r="L1164" s="4" t="str">
        <f t="shared" si="1"/>
        <v>Dec-2025</v>
      </c>
    </row>
    <row r="1165" ht="15.75" customHeight="1">
      <c r="A1165" s="4" t="s">
        <v>1488</v>
      </c>
      <c r="B1165" s="5">
        <v>46013.0</v>
      </c>
      <c r="C1165" s="4" t="s">
        <v>61</v>
      </c>
      <c r="D1165" s="4" t="s">
        <v>19</v>
      </c>
      <c r="E1165" s="4" t="s">
        <v>20</v>
      </c>
      <c r="F1165" s="4" t="s">
        <v>270</v>
      </c>
      <c r="G1165" s="4">
        <v>6.0</v>
      </c>
      <c r="H1165" s="6">
        <v>7245.23</v>
      </c>
      <c r="I1165" s="6">
        <v>43471.38</v>
      </c>
      <c r="J1165" s="6">
        <v>36333.13</v>
      </c>
      <c r="K1165" s="6">
        <v>7138.25</v>
      </c>
      <c r="L1165" s="4" t="str">
        <f t="shared" si="1"/>
        <v>Dec-2025</v>
      </c>
    </row>
    <row r="1166" ht="15.75" customHeight="1">
      <c r="A1166" s="4" t="s">
        <v>1489</v>
      </c>
      <c r="B1166" s="5">
        <v>46014.0</v>
      </c>
      <c r="C1166" s="4" t="s">
        <v>50</v>
      </c>
      <c r="D1166" s="4" t="s">
        <v>42</v>
      </c>
      <c r="E1166" s="4" t="s">
        <v>29</v>
      </c>
      <c r="F1166" s="4" t="s">
        <v>201</v>
      </c>
      <c r="G1166" s="4">
        <v>1.0</v>
      </c>
      <c r="H1166" s="6">
        <v>2275.26</v>
      </c>
      <c r="I1166" s="6">
        <v>2275.26</v>
      </c>
      <c r="J1166" s="6">
        <v>1747.68</v>
      </c>
      <c r="K1166" s="6">
        <v>527.58</v>
      </c>
      <c r="L1166" s="4" t="str">
        <f t="shared" si="1"/>
        <v>Dec-2025</v>
      </c>
    </row>
    <row r="1167" ht="15.75" customHeight="1">
      <c r="A1167" s="4" t="s">
        <v>1490</v>
      </c>
      <c r="B1167" s="5">
        <v>46014.0</v>
      </c>
      <c r="C1167" s="4" t="s">
        <v>35</v>
      </c>
      <c r="D1167" s="4" t="s">
        <v>14</v>
      </c>
      <c r="E1167" s="4" t="s">
        <v>15</v>
      </c>
      <c r="F1167" s="4" t="s">
        <v>229</v>
      </c>
      <c r="G1167" s="4">
        <v>6.0</v>
      </c>
      <c r="H1167" s="6">
        <v>1136.94</v>
      </c>
      <c r="I1167" s="6">
        <v>6821.64</v>
      </c>
      <c r="J1167" s="6">
        <v>5381.15</v>
      </c>
      <c r="K1167" s="6">
        <v>1440.49</v>
      </c>
      <c r="L1167" s="4" t="str">
        <f t="shared" si="1"/>
        <v>Dec-2025</v>
      </c>
    </row>
    <row r="1168" ht="15.75" customHeight="1">
      <c r="A1168" s="4" t="s">
        <v>1491</v>
      </c>
      <c r="B1168" s="5">
        <v>46014.0</v>
      </c>
      <c r="C1168" s="4" t="s">
        <v>28</v>
      </c>
      <c r="D1168" s="4" t="s">
        <v>14</v>
      </c>
      <c r="E1168" s="4" t="s">
        <v>20</v>
      </c>
      <c r="F1168" s="4" t="s">
        <v>309</v>
      </c>
      <c r="G1168" s="4">
        <v>5.0</v>
      </c>
      <c r="H1168" s="6">
        <v>76.15</v>
      </c>
      <c r="I1168" s="6">
        <v>380.75</v>
      </c>
      <c r="J1168" s="6">
        <v>271.9</v>
      </c>
      <c r="K1168" s="6">
        <v>108.85</v>
      </c>
      <c r="L1168" s="4" t="str">
        <f t="shared" si="1"/>
        <v>Dec-2025</v>
      </c>
    </row>
    <row r="1169" ht="15.75" customHeight="1">
      <c r="A1169" s="4" t="s">
        <v>1492</v>
      </c>
      <c r="B1169" s="5">
        <v>46015.0</v>
      </c>
      <c r="C1169" s="4" t="s">
        <v>23</v>
      </c>
      <c r="D1169" s="4" t="s">
        <v>24</v>
      </c>
      <c r="E1169" s="4" t="s">
        <v>29</v>
      </c>
      <c r="F1169" s="4" t="s">
        <v>57</v>
      </c>
      <c r="G1169" s="4">
        <v>7.0</v>
      </c>
      <c r="H1169" s="6">
        <v>14003.48</v>
      </c>
      <c r="I1169" s="6">
        <v>98024.36</v>
      </c>
      <c r="J1169" s="6">
        <v>72935.65</v>
      </c>
      <c r="K1169" s="6">
        <v>25088.71</v>
      </c>
      <c r="L1169" s="4" t="str">
        <f t="shared" si="1"/>
        <v>Dec-2025</v>
      </c>
    </row>
    <row r="1170" ht="15.75" customHeight="1">
      <c r="A1170" s="4" t="s">
        <v>1493</v>
      </c>
      <c r="B1170" s="5">
        <v>46015.0</v>
      </c>
      <c r="C1170" s="4" t="s">
        <v>38</v>
      </c>
      <c r="D1170" s="4" t="s">
        <v>19</v>
      </c>
      <c r="E1170" s="4" t="s">
        <v>29</v>
      </c>
      <c r="F1170" s="4" t="s">
        <v>55</v>
      </c>
      <c r="G1170" s="4">
        <v>3.0</v>
      </c>
      <c r="H1170" s="6">
        <v>26913.19</v>
      </c>
      <c r="I1170" s="6">
        <v>80739.57</v>
      </c>
      <c r="J1170" s="6">
        <v>69957.78</v>
      </c>
      <c r="K1170" s="6">
        <v>10781.79</v>
      </c>
      <c r="L1170" s="4" t="str">
        <f t="shared" si="1"/>
        <v>Dec-2025</v>
      </c>
    </row>
    <row r="1171" ht="15.75" customHeight="1">
      <c r="A1171" s="4" t="s">
        <v>1494</v>
      </c>
      <c r="B1171" s="5">
        <v>46015.0</v>
      </c>
      <c r="C1171" s="4" t="s">
        <v>18</v>
      </c>
      <c r="D1171" s="4" t="s">
        <v>19</v>
      </c>
      <c r="E1171" s="4" t="s">
        <v>25</v>
      </c>
      <c r="F1171" s="4" t="s">
        <v>713</v>
      </c>
      <c r="G1171" s="4">
        <v>1.0</v>
      </c>
      <c r="H1171" s="6">
        <v>69416.26</v>
      </c>
      <c r="I1171" s="6">
        <v>69416.26</v>
      </c>
      <c r="J1171" s="6">
        <v>56767.2</v>
      </c>
      <c r="K1171" s="6">
        <v>12649.06</v>
      </c>
      <c r="L1171" s="4" t="str">
        <f t="shared" si="1"/>
        <v>Dec-2025</v>
      </c>
    </row>
    <row r="1172" ht="15.75" customHeight="1">
      <c r="A1172" s="4" t="s">
        <v>1495</v>
      </c>
      <c r="B1172" s="5">
        <v>46015.0</v>
      </c>
      <c r="C1172" s="4" t="s">
        <v>47</v>
      </c>
      <c r="D1172" s="4" t="s">
        <v>14</v>
      </c>
      <c r="E1172" s="4" t="s">
        <v>15</v>
      </c>
      <c r="F1172" s="4" t="s">
        <v>557</v>
      </c>
      <c r="G1172" s="4">
        <v>6.0</v>
      </c>
      <c r="H1172" s="6">
        <v>541.9</v>
      </c>
      <c r="I1172" s="6">
        <v>3251.4</v>
      </c>
      <c r="J1172" s="6">
        <v>2703.43</v>
      </c>
      <c r="K1172" s="6">
        <v>547.97</v>
      </c>
      <c r="L1172" s="4" t="str">
        <f t="shared" si="1"/>
        <v>Dec-2025</v>
      </c>
    </row>
    <row r="1173" ht="15.75" customHeight="1">
      <c r="A1173" s="4" t="s">
        <v>1496</v>
      </c>
      <c r="B1173" s="5">
        <v>46016.0</v>
      </c>
      <c r="C1173" s="4" t="s">
        <v>32</v>
      </c>
      <c r="D1173" s="4" t="s">
        <v>19</v>
      </c>
      <c r="E1173" s="4" t="s">
        <v>25</v>
      </c>
      <c r="F1173" s="4" t="s">
        <v>184</v>
      </c>
      <c r="G1173" s="4">
        <v>2.0</v>
      </c>
      <c r="H1173" s="6">
        <v>39569.26</v>
      </c>
      <c r="I1173" s="6">
        <v>79138.52</v>
      </c>
      <c r="J1173" s="6">
        <v>66719.87</v>
      </c>
      <c r="K1173" s="6">
        <v>12418.65</v>
      </c>
      <c r="L1173" s="4" t="str">
        <f t="shared" si="1"/>
        <v>Dec-2025</v>
      </c>
    </row>
    <row r="1174" ht="15.75" customHeight="1">
      <c r="A1174" s="4" t="s">
        <v>1497</v>
      </c>
      <c r="B1174" s="5">
        <v>46017.0</v>
      </c>
      <c r="C1174" s="4" t="s">
        <v>75</v>
      </c>
      <c r="D1174" s="4" t="s">
        <v>24</v>
      </c>
      <c r="E1174" s="4" t="s">
        <v>29</v>
      </c>
      <c r="F1174" s="4" t="s">
        <v>86</v>
      </c>
      <c r="G1174" s="4">
        <v>4.0</v>
      </c>
      <c r="H1174" s="6">
        <v>10138.62</v>
      </c>
      <c r="I1174" s="6">
        <v>40554.48</v>
      </c>
      <c r="J1174" s="6">
        <v>32764.91</v>
      </c>
      <c r="K1174" s="6">
        <v>7789.57</v>
      </c>
      <c r="L1174" s="4" t="str">
        <f t="shared" si="1"/>
        <v>Dec-2025</v>
      </c>
    </row>
    <row r="1175" ht="15.75" customHeight="1">
      <c r="A1175" s="4" t="s">
        <v>1498</v>
      </c>
      <c r="B1175" s="5">
        <v>46017.0</v>
      </c>
      <c r="C1175" s="4" t="s">
        <v>61</v>
      </c>
      <c r="D1175" s="4" t="s">
        <v>19</v>
      </c>
      <c r="E1175" s="4" t="s">
        <v>20</v>
      </c>
      <c r="F1175" s="4" t="s">
        <v>413</v>
      </c>
      <c r="G1175" s="4">
        <v>7.0</v>
      </c>
      <c r="H1175" s="6">
        <v>58101.63</v>
      </c>
      <c r="I1175" s="6">
        <v>406711.41</v>
      </c>
      <c r="J1175" s="6">
        <v>352960.89</v>
      </c>
      <c r="K1175" s="6">
        <v>53750.52</v>
      </c>
      <c r="L1175" s="4" t="str">
        <f t="shared" si="1"/>
        <v>Dec-2025</v>
      </c>
    </row>
    <row r="1176" ht="15.75" customHeight="1">
      <c r="A1176" s="4" t="s">
        <v>1499</v>
      </c>
      <c r="B1176" s="5">
        <v>46017.0</v>
      </c>
      <c r="C1176" s="4" t="s">
        <v>109</v>
      </c>
      <c r="D1176" s="4" t="s">
        <v>42</v>
      </c>
      <c r="E1176" s="4" t="s">
        <v>25</v>
      </c>
      <c r="F1176" s="4" t="s">
        <v>541</v>
      </c>
      <c r="G1176" s="4">
        <v>2.0</v>
      </c>
      <c r="H1176" s="6">
        <v>4746.96</v>
      </c>
      <c r="I1176" s="6">
        <v>9493.92</v>
      </c>
      <c r="J1176" s="6">
        <v>7707.64</v>
      </c>
      <c r="K1176" s="6">
        <v>1786.28</v>
      </c>
      <c r="L1176" s="4" t="str">
        <f t="shared" si="1"/>
        <v>Dec-2025</v>
      </c>
    </row>
    <row r="1177" ht="15.75" customHeight="1">
      <c r="A1177" s="4" t="s">
        <v>1500</v>
      </c>
      <c r="B1177" s="5">
        <v>46017.0</v>
      </c>
      <c r="C1177" s="4" t="s">
        <v>32</v>
      </c>
      <c r="D1177" s="4" t="s">
        <v>19</v>
      </c>
      <c r="E1177" s="4" t="s">
        <v>20</v>
      </c>
      <c r="F1177" s="4" t="s">
        <v>325</v>
      </c>
      <c r="G1177" s="4">
        <v>6.0</v>
      </c>
      <c r="H1177" s="6">
        <v>4593.97</v>
      </c>
      <c r="I1177" s="6">
        <v>27563.82</v>
      </c>
      <c r="J1177" s="6">
        <v>22202.35</v>
      </c>
      <c r="K1177" s="6">
        <v>5361.47</v>
      </c>
      <c r="L1177" s="4" t="str">
        <f t="shared" si="1"/>
        <v>Dec-2025</v>
      </c>
    </row>
    <row r="1178" ht="15.75" customHeight="1">
      <c r="A1178" s="4" t="s">
        <v>1501</v>
      </c>
      <c r="B1178" s="5">
        <v>46017.0</v>
      </c>
      <c r="C1178" s="4" t="s">
        <v>28</v>
      </c>
      <c r="D1178" s="4" t="s">
        <v>14</v>
      </c>
      <c r="E1178" s="4" t="s">
        <v>25</v>
      </c>
      <c r="F1178" s="4" t="s">
        <v>956</v>
      </c>
      <c r="G1178" s="4">
        <v>3.0</v>
      </c>
      <c r="H1178" s="6">
        <v>734.71</v>
      </c>
      <c r="I1178" s="6">
        <v>2204.13</v>
      </c>
      <c r="J1178" s="6">
        <v>1588.44</v>
      </c>
      <c r="K1178" s="6">
        <v>615.69</v>
      </c>
      <c r="L1178" s="4" t="str">
        <f t="shared" si="1"/>
        <v>Dec-2025</v>
      </c>
    </row>
    <row r="1179" ht="15.75" customHeight="1">
      <c r="A1179" s="4" t="s">
        <v>1502</v>
      </c>
      <c r="B1179" s="5">
        <v>46017.0</v>
      </c>
      <c r="C1179" s="4" t="s">
        <v>109</v>
      </c>
      <c r="D1179" s="4" t="s">
        <v>42</v>
      </c>
      <c r="E1179" s="4" t="s">
        <v>29</v>
      </c>
      <c r="F1179" s="4" t="s">
        <v>256</v>
      </c>
      <c r="G1179" s="4">
        <v>1.0</v>
      </c>
      <c r="H1179" s="6">
        <v>4241.76</v>
      </c>
      <c r="I1179" s="6">
        <v>4241.76</v>
      </c>
      <c r="J1179" s="6">
        <v>3337.03</v>
      </c>
      <c r="K1179" s="6">
        <v>904.73</v>
      </c>
      <c r="L1179" s="4" t="str">
        <f t="shared" si="1"/>
        <v>Dec-2025</v>
      </c>
    </row>
    <row r="1180" ht="15.75" customHeight="1">
      <c r="A1180" s="4" t="s">
        <v>1503</v>
      </c>
      <c r="B1180" s="5">
        <v>46017.0</v>
      </c>
      <c r="C1180" s="4" t="s">
        <v>180</v>
      </c>
      <c r="D1180" s="4" t="s">
        <v>19</v>
      </c>
      <c r="E1180" s="4" t="s">
        <v>29</v>
      </c>
      <c r="F1180" s="4" t="s">
        <v>173</v>
      </c>
      <c r="G1180" s="4">
        <v>7.0</v>
      </c>
      <c r="H1180" s="6">
        <v>50820.47</v>
      </c>
      <c r="I1180" s="6">
        <v>355743.29</v>
      </c>
      <c r="J1180" s="6">
        <v>316188.69</v>
      </c>
      <c r="K1180" s="6">
        <v>39554.6</v>
      </c>
      <c r="L1180" s="4" t="str">
        <f t="shared" si="1"/>
        <v>Dec-2025</v>
      </c>
    </row>
    <row r="1181" ht="15.75" customHeight="1">
      <c r="A1181" s="4" t="s">
        <v>1504</v>
      </c>
      <c r="B1181" s="5">
        <v>46018.0</v>
      </c>
      <c r="C1181" s="4" t="s">
        <v>140</v>
      </c>
      <c r="D1181" s="4" t="s">
        <v>14</v>
      </c>
      <c r="E1181" s="4" t="s">
        <v>29</v>
      </c>
      <c r="F1181" s="4" t="s">
        <v>1030</v>
      </c>
      <c r="G1181" s="4">
        <v>6.0</v>
      </c>
      <c r="H1181" s="6">
        <v>531.85</v>
      </c>
      <c r="I1181" s="6">
        <v>3191.1</v>
      </c>
      <c r="J1181" s="6">
        <v>2332.59</v>
      </c>
      <c r="K1181" s="6">
        <v>858.51</v>
      </c>
      <c r="L1181" s="4" t="str">
        <f t="shared" si="1"/>
        <v>Dec-2025</v>
      </c>
    </row>
    <row r="1182" ht="15.75" customHeight="1">
      <c r="A1182" s="4" t="s">
        <v>1505</v>
      </c>
      <c r="B1182" s="5">
        <v>46018.0</v>
      </c>
      <c r="C1182" s="4" t="s">
        <v>109</v>
      </c>
      <c r="D1182" s="4" t="s">
        <v>42</v>
      </c>
      <c r="E1182" s="4" t="s">
        <v>20</v>
      </c>
      <c r="F1182" s="4" t="s">
        <v>223</v>
      </c>
      <c r="G1182" s="4">
        <v>4.0</v>
      </c>
      <c r="H1182" s="6">
        <v>964.58</v>
      </c>
      <c r="I1182" s="6">
        <v>3858.32</v>
      </c>
      <c r="J1182" s="6">
        <v>2897.6</v>
      </c>
      <c r="K1182" s="6">
        <v>960.72</v>
      </c>
      <c r="L1182" s="4" t="str">
        <f t="shared" si="1"/>
        <v>Dec-2025</v>
      </c>
    </row>
    <row r="1183" ht="15.75" customHeight="1">
      <c r="A1183" s="4" t="s">
        <v>1506</v>
      </c>
      <c r="B1183" s="5">
        <v>46018.0</v>
      </c>
      <c r="C1183" s="4" t="s">
        <v>92</v>
      </c>
      <c r="D1183" s="4" t="s">
        <v>14</v>
      </c>
      <c r="E1183" s="4" t="s">
        <v>29</v>
      </c>
      <c r="F1183" s="4" t="s">
        <v>304</v>
      </c>
      <c r="G1183" s="4">
        <v>4.0</v>
      </c>
      <c r="H1183" s="6">
        <v>287.3</v>
      </c>
      <c r="I1183" s="6">
        <v>1149.2</v>
      </c>
      <c r="J1183" s="6">
        <v>846.86</v>
      </c>
      <c r="K1183" s="6">
        <v>302.34</v>
      </c>
      <c r="L1183" s="4" t="str">
        <f t="shared" si="1"/>
        <v>Dec-2025</v>
      </c>
    </row>
    <row r="1184" ht="15.75" customHeight="1">
      <c r="A1184" s="4" t="s">
        <v>1507</v>
      </c>
      <c r="B1184" s="5">
        <v>46018.0</v>
      </c>
      <c r="C1184" s="4" t="s">
        <v>180</v>
      </c>
      <c r="D1184" s="4" t="s">
        <v>19</v>
      </c>
      <c r="E1184" s="4" t="s">
        <v>29</v>
      </c>
      <c r="F1184" s="4" t="s">
        <v>413</v>
      </c>
      <c r="G1184" s="4">
        <v>5.0</v>
      </c>
      <c r="H1184" s="6">
        <v>48840.56</v>
      </c>
      <c r="I1184" s="6">
        <v>244202.8</v>
      </c>
      <c r="J1184" s="6">
        <v>214658.94</v>
      </c>
      <c r="K1184" s="6">
        <v>29543.86</v>
      </c>
      <c r="L1184" s="4" t="str">
        <f t="shared" si="1"/>
        <v>Dec-2025</v>
      </c>
    </row>
    <row r="1185" ht="15.75" customHeight="1">
      <c r="A1185" s="4" t="s">
        <v>1508</v>
      </c>
      <c r="B1185" s="5">
        <v>46019.0</v>
      </c>
      <c r="C1185" s="4" t="s">
        <v>50</v>
      </c>
      <c r="D1185" s="4" t="s">
        <v>42</v>
      </c>
      <c r="E1185" s="4" t="s">
        <v>29</v>
      </c>
      <c r="F1185" s="4" t="s">
        <v>461</v>
      </c>
      <c r="G1185" s="4">
        <v>1.0</v>
      </c>
      <c r="H1185" s="6">
        <v>256.47</v>
      </c>
      <c r="I1185" s="6">
        <v>256.47</v>
      </c>
      <c r="J1185" s="6">
        <v>227.59</v>
      </c>
      <c r="K1185" s="6">
        <v>28.88</v>
      </c>
      <c r="L1185" s="4" t="str">
        <f t="shared" si="1"/>
        <v>Dec-2025</v>
      </c>
    </row>
    <row r="1186" ht="15.75" customHeight="1">
      <c r="A1186" s="4" t="s">
        <v>1509</v>
      </c>
      <c r="B1186" s="5">
        <v>46019.0</v>
      </c>
      <c r="C1186" s="4" t="s">
        <v>18</v>
      </c>
      <c r="D1186" s="4" t="s">
        <v>19</v>
      </c>
      <c r="E1186" s="4" t="s">
        <v>15</v>
      </c>
      <c r="F1186" s="4" t="s">
        <v>325</v>
      </c>
      <c r="G1186" s="4">
        <v>3.0</v>
      </c>
      <c r="H1186" s="6">
        <v>4596.48</v>
      </c>
      <c r="I1186" s="6">
        <v>13789.44</v>
      </c>
      <c r="J1186" s="6">
        <v>12300.97</v>
      </c>
      <c r="K1186" s="6">
        <v>1488.47</v>
      </c>
      <c r="L1186" s="4" t="str">
        <f t="shared" si="1"/>
        <v>Dec-2025</v>
      </c>
    </row>
    <row r="1187" ht="15.75" customHeight="1">
      <c r="A1187" s="4" t="s">
        <v>1510</v>
      </c>
      <c r="B1187" s="5">
        <v>46020.0</v>
      </c>
      <c r="C1187" s="4" t="s">
        <v>109</v>
      </c>
      <c r="D1187" s="4" t="s">
        <v>42</v>
      </c>
      <c r="E1187" s="4" t="s">
        <v>15</v>
      </c>
      <c r="F1187" s="4" t="s">
        <v>238</v>
      </c>
      <c r="G1187" s="4">
        <v>5.0</v>
      </c>
      <c r="H1187" s="6">
        <v>1001.87</v>
      </c>
      <c r="I1187" s="6">
        <v>5009.35</v>
      </c>
      <c r="J1187" s="6">
        <v>4291.86</v>
      </c>
      <c r="K1187" s="6">
        <v>717.49</v>
      </c>
      <c r="L1187" s="4" t="str">
        <f t="shared" si="1"/>
        <v>Dec-2025</v>
      </c>
    </row>
    <row r="1188" ht="15.75" customHeight="1">
      <c r="A1188" s="4" t="s">
        <v>1511</v>
      </c>
      <c r="B1188" s="5">
        <v>46020.0</v>
      </c>
      <c r="C1188" s="4" t="s">
        <v>155</v>
      </c>
      <c r="D1188" s="4" t="s">
        <v>24</v>
      </c>
      <c r="E1188" s="4" t="s">
        <v>25</v>
      </c>
      <c r="F1188" s="4" t="s">
        <v>371</v>
      </c>
      <c r="G1188" s="4">
        <v>6.0</v>
      </c>
      <c r="H1188" s="6">
        <v>16938.9</v>
      </c>
      <c r="I1188" s="6">
        <v>101633.4</v>
      </c>
      <c r="J1188" s="6">
        <v>85472.84</v>
      </c>
      <c r="K1188" s="6">
        <v>16160.56</v>
      </c>
      <c r="L1188" s="4" t="str">
        <f t="shared" si="1"/>
        <v>Dec-2025</v>
      </c>
    </row>
    <row r="1189" ht="15.75" customHeight="1">
      <c r="A1189" s="4" t="s">
        <v>1512</v>
      </c>
      <c r="B1189" s="5">
        <v>46020.0</v>
      </c>
      <c r="C1189" s="4" t="s">
        <v>72</v>
      </c>
      <c r="D1189" s="4" t="s">
        <v>24</v>
      </c>
      <c r="E1189" s="4" t="s">
        <v>29</v>
      </c>
      <c r="F1189" s="4" t="s">
        <v>147</v>
      </c>
      <c r="G1189" s="4">
        <v>4.0</v>
      </c>
      <c r="H1189" s="6">
        <v>16902.66</v>
      </c>
      <c r="I1189" s="6">
        <v>67610.64</v>
      </c>
      <c r="J1189" s="6">
        <v>50090.93</v>
      </c>
      <c r="K1189" s="6">
        <v>17519.71</v>
      </c>
      <c r="L1189" s="4" t="str">
        <f t="shared" si="1"/>
        <v>Dec-2025</v>
      </c>
    </row>
    <row r="1190" ht="15.75" customHeight="1">
      <c r="A1190" s="4" t="s">
        <v>1513</v>
      </c>
      <c r="B1190" s="5">
        <v>46021.0</v>
      </c>
      <c r="C1190" s="4" t="s">
        <v>69</v>
      </c>
      <c r="D1190" s="4" t="s">
        <v>19</v>
      </c>
      <c r="E1190" s="4" t="s">
        <v>15</v>
      </c>
      <c r="F1190" s="4" t="s">
        <v>518</v>
      </c>
      <c r="G1190" s="4">
        <v>2.0</v>
      </c>
      <c r="H1190" s="6">
        <v>59707.06</v>
      </c>
      <c r="I1190" s="6">
        <v>119414.12</v>
      </c>
      <c r="J1190" s="6">
        <v>97330.9</v>
      </c>
      <c r="K1190" s="6">
        <v>22083.22</v>
      </c>
      <c r="L1190" s="4" t="str">
        <f t="shared" si="1"/>
        <v>Dec-2025</v>
      </c>
    </row>
    <row r="1191" ht="15.75" customHeight="1">
      <c r="A1191" s="4" t="s">
        <v>1514</v>
      </c>
      <c r="B1191" s="5">
        <v>46021.0</v>
      </c>
      <c r="C1191" s="4" t="s">
        <v>160</v>
      </c>
      <c r="D1191" s="4" t="s">
        <v>42</v>
      </c>
      <c r="E1191" s="4" t="s">
        <v>25</v>
      </c>
      <c r="F1191" s="4" t="s">
        <v>215</v>
      </c>
      <c r="G1191" s="4">
        <v>7.0</v>
      </c>
      <c r="H1191" s="6">
        <v>393.24</v>
      </c>
      <c r="I1191" s="6">
        <v>2752.68</v>
      </c>
      <c r="J1191" s="6">
        <v>2252.71</v>
      </c>
      <c r="K1191" s="6">
        <v>499.97</v>
      </c>
      <c r="L1191" s="4" t="str">
        <f t="shared" si="1"/>
        <v>Dec-2025</v>
      </c>
    </row>
    <row r="1192" ht="15.75" customHeight="1">
      <c r="A1192" s="4" t="s">
        <v>1515</v>
      </c>
      <c r="B1192" s="5">
        <v>46021.0</v>
      </c>
      <c r="C1192" s="4" t="s">
        <v>32</v>
      </c>
      <c r="D1192" s="4" t="s">
        <v>19</v>
      </c>
      <c r="E1192" s="4" t="s">
        <v>25</v>
      </c>
      <c r="F1192" s="4" t="s">
        <v>84</v>
      </c>
      <c r="G1192" s="4">
        <v>5.0</v>
      </c>
      <c r="H1192" s="6">
        <v>19670.69</v>
      </c>
      <c r="I1192" s="6">
        <v>98353.45</v>
      </c>
      <c r="J1192" s="6">
        <v>80815.99</v>
      </c>
      <c r="K1192" s="6">
        <v>17537.46</v>
      </c>
      <c r="L1192" s="4" t="str">
        <f t="shared" si="1"/>
        <v>Dec-2025</v>
      </c>
    </row>
    <row r="1193" ht="15.75" customHeight="1">
      <c r="A1193" s="4" t="s">
        <v>1516</v>
      </c>
      <c r="B1193" s="5">
        <v>46021.0</v>
      </c>
      <c r="C1193" s="4" t="s">
        <v>41</v>
      </c>
      <c r="D1193" s="4" t="s">
        <v>42</v>
      </c>
      <c r="E1193" s="4" t="s">
        <v>20</v>
      </c>
      <c r="F1193" s="4" t="s">
        <v>84</v>
      </c>
      <c r="G1193" s="4">
        <v>7.0</v>
      </c>
      <c r="H1193" s="6">
        <v>3264.08</v>
      </c>
      <c r="I1193" s="6">
        <v>22848.56</v>
      </c>
      <c r="J1193" s="6">
        <v>18737.49</v>
      </c>
      <c r="K1193" s="6">
        <v>4111.07</v>
      </c>
      <c r="L1193" s="4" t="str">
        <f t="shared" si="1"/>
        <v>Dec-2025</v>
      </c>
    </row>
    <row r="1194" ht="15.75" customHeight="1">
      <c r="A1194" s="4" t="s">
        <v>1517</v>
      </c>
      <c r="B1194" s="5">
        <v>46021.0</v>
      </c>
      <c r="C1194" s="4" t="s">
        <v>50</v>
      </c>
      <c r="D1194" s="4" t="s">
        <v>42</v>
      </c>
      <c r="E1194" s="4" t="s">
        <v>29</v>
      </c>
      <c r="F1194" s="4" t="s">
        <v>325</v>
      </c>
      <c r="G1194" s="4">
        <v>3.0</v>
      </c>
      <c r="H1194" s="6">
        <v>2360.59</v>
      </c>
      <c r="I1194" s="6">
        <v>7081.77</v>
      </c>
      <c r="J1194" s="6">
        <v>5428.55</v>
      </c>
      <c r="K1194" s="6">
        <v>1653.22</v>
      </c>
      <c r="L1194" s="4" t="str">
        <f t="shared" si="1"/>
        <v>Dec-2025</v>
      </c>
    </row>
    <row r="1195" ht="15.75" customHeight="1">
      <c r="A1195" s="4" t="s">
        <v>1518</v>
      </c>
      <c r="B1195" s="5">
        <v>46022.0</v>
      </c>
      <c r="C1195" s="4" t="s">
        <v>102</v>
      </c>
      <c r="D1195" s="4" t="s">
        <v>24</v>
      </c>
      <c r="E1195" s="4" t="s">
        <v>25</v>
      </c>
      <c r="F1195" s="4" t="s">
        <v>274</v>
      </c>
      <c r="G1195" s="4">
        <v>7.0</v>
      </c>
      <c r="H1195" s="6">
        <v>2590.27</v>
      </c>
      <c r="I1195" s="6">
        <v>18131.89</v>
      </c>
      <c r="J1195" s="6">
        <v>14682.04</v>
      </c>
      <c r="K1195" s="6">
        <v>3449.85</v>
      </c>
      <c r="L1195" s="4" t="str">
        <f t="shared" si="1"/>
        <v>Dec-2025</v>
      </c>
    </row>
    <row r="1196" ht="15.75" customHeight="1">
      <c r="A1196" s="4" t="s">
        <v>1519</v>
      </c>
      <c r="B1196" s="5">
        <v>46022.0</v>
      </c>
      <c r="C1196" s="4" t="s">
        <v>35</v>
      </c>
      <c r="D1196" s="4" t="s">
        <v>14</v>
      </c>
      <c r="E1196" s="4" t="s">
        <v>25</v>
      </c>
      <c r="F1196" s="4" t="s">
        <v>184</v>
      </c>
      <c r="G1196" s="4">
        <v>7.0</v>
      </c>
      <c r="H1196" s="6">
        <v>108.51</v>
      </c>
      <c r="I1196" s="6">
        <v>759.57</v>
      </c>
      <c r="J1196" s="6">
        <v>642.74</v>
      </c>
      <c r="K1196" s="6">
        <v>116.83</v>
      </c>
      <c r="L1196" s="4" t="str">
        <f t="shared" si="1"/>
        <v>Dec-2025</v>
      </c>
    </row>
    <row r="1197" ht="15.75" customHeight="1">
      <c r="A1197" s="4" t="s">
        <v>1520</v>
      </c>
      <c r="B1197" s="5">
        <v>46022.0</v>
      </c>
      <c r="C1197" s="4" t="s">
        <v>92</v>
      </c>
      <c r="D1197" s="4" t="s">
        <v>14</v>
      </c>
      <c r="E1197" s="4" t="s">
        <v>29</v>
      </c>
      <c r="F1197" s="4" t="s">
        <v>559</v>
      </c>
      <c r="G1197" s="4">
        <v>6.0</v>
      </c>
      <c r="H1197" s="6">
        <v>839.51</v>
      </c>
      <c r="I1197" s="6">
        <v>5037.06</v>
      </c>
      <c r="J1197" s="6">
        <v>3967.7</v>
      </c>
      <c r="K1197" s="6">
        <v>1069.36</v>
      </c>
      <c r="L1197" s="4" t="str">
        <f t="shared" si="1"/>
        <v>Dec-2025</v>
      </c>
    </row>
    <row r="1198" ht="15.75" customHeight="1">
      <c r="A1198" s="4" t="s">
        <v>1521</v>
      </c>
      <c r="B1198" s="5">
        <v>46022.0</v>
      </c>
      <c r="C1198" s="4" t="s">
        <v>38</v>
      </c>
      <c r="D1198" s="4" t="s">
        <v>19</v>
      </c>
      <c r="E1198" s="4" t="s">
        <v>29</v>
      </c>
      <c r="F1198" s="4" t="s">
        <v>325</v>
      </c>
      <c r="G1198" s="4">
        <v>2.0</v>
      </c>
      <c r="H1198" s="6">
        <v>13328.98</v>
      </c>
      <c r="I1198" s="6">
        <v>26657.96</v>
      </c>
      <c r="J1198" s="6">
        <v>22903.29</v>
      </c>
      <c r="K1198" s="6">
        <v>3754.67</v>
      </c>
      <c r="L1198" s="4" t="str">
        <f t="shared" si="1"/>
        <v>Dec-2025</v>
      </c>
    </row>
    <row r="1199" ht="15.75" customHeight="1">
      <c r="A1199" s="4" t="s">
        <v>1522</v>
      </c>
      <c r="B1199" s="5">
        <v>46022.0</v>
      </c>
      <c r="C1199" s="4" t="s">
        <v>32</v>
      </c>
      <c r="D1199" s="4" t="s">
        <v>19</v>
      </c>
      <c r="E1199" s="4" t="s">
        <v>20</v>
      </c>
      <c r="F1199" s="4" t="s">
        <v>321</v>
      </c>
      <c r="G1199" s="4">
        <v>6.0</v>
      </c>
      <c r="H1199" s="6">
        <v>71126.47</v>
      </c>
      <c r="I1199" s="6">
        <v>426758.82</v>
      </c>
      <c r="J1199" s="6">
        <v>372308.29</v>
      </c>
      <c r="K1199" s="6">
        <v>54450.53</v>
      </c>
      <c r="L1199" s="4" t="str">
        <f t="shared" si="1"/>
        <v>Dec-2025</v>
      </c>
    </row>
    <row r="1200" ht="15.75" customHeight="1">
      <c r="A1200" s="4" t="s">
        <v>1523</v>
      </c>
      <c r="B1200" s="5">
        <v>46022.0</v>
      </c>
      <c r="C1200" s="4" t="s">
        <v>92</v>
      </c>
      <c r="D1200" s="4" t="s">
        <v>14</v>
      </c>
      <c r="E1200" s="4" t="s">
        <v>15</v>
      </c>
      <c r="F1200" s="4" t="s">
        <v>566</v>
      </c>
      <c r="G1200" s="4">
        <v>2.0</v>
      </c>
      <c r="H1200" s="6">
        <v>902.98</v>
      </c>
      <c r="I1200" s="6">
        <v>1805.96</v>
      </c>
      <c r="J1200" s="6">
        <v>1389.78</v>
      </c>
      <c r="K1200" s="6">
        <v>416.18</v>
      </c>
      <c r="L1200" s="4" t="str">
        <f t="shared" si="1"/>
        <v>Dec-2025</v>
      </c>
    </row>
    <row r="1201" ht="15.75" customHeight="1">
      <c r="A1201" s="4" t="s">
        <v>1524</v>
      </c>
      <c r="B1201" s="5">
        <v>46022.0</v>
      </c>
      <c r="C1201" s="4" t="s">
        <v>47</v>
      </c>
      <c r="D1201" s="4" t="s">
        <v>14</v>
      </c>
      <c r="E1201" s="4" t="s">
        <v>29</v>
      </c>
      <c r="F1201" s="4" t="s">
        <v>373</v>
      </c>
      <c r="G1201" s="4">
        <v>5.0</v>
      </c>
      <c r="H1201" s="6">
        <v>789.72</v>
      </c>
      <c r="I1201" s="6">
        <v>3948.6</v>
      </c>
      <c r="J1201" s="6">
        <v>2772.58</v>
      </c>
      <c r="K1201" s="6">
        <v>1176.02</v>
      </c>
      <c r="L1201" s="4" t="str">
        <f t="shared" si="1"/>
        <v>Dec-2025</v>
      </c>
    </row>
    <row r="1202" ht="15.75" customHeight="1"/>
    <row r="1203" ht="15.75" customHeight="1"/>
    <row r="1204" ht="15.75" customHeight="1"/>
  </sheetData>
  <autoFilter ref="$A$1:$K$1204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24.0"/>
    <col customWidth="1" min="3" max="26" width="8.71"/>
  </cols>
  <sheetData>
    <row r="1">
      <c r="A1" s="2" t="s">
        <v>684</v>
      </c>
      <c r="B1" s="2" t="s">
        <v>685</v>
      </c>
    </row>
    <row r="2">
      <c r="A2" s="8" t="s">
        <v>687</v>
      </c>
      <c r="B2" s="7">
        <f>SUM('Cleaned Data'!I2:I1201)</f>
        <v>73765647.14</v>
      </c>
    </row>
    <row r="3">
      <c r="A3" s="8" t="s">
        <v>692</v>
      </c>
      <c r="B3" s="7">
        <f>SUM('Cleaned Data'!K2:K1201)</f>
        <v>11320294.78</v>
      </c>
    </row>
    <row r="4">
      <c r="A4" s="9" t="s">
        <v>696</v>
      </c>
      <c r="B4" s="4">
        <f>COUNTA('Cleaned Data'!A2:A1201)</f>
        <v>1200</v>
      </c>
    </row>
    <row r="5">
      <c r="A5" s="9" t="s">
        <v>700</v>
      </c>
      <c r="B5" s="4">
        <f>SUM('Cleaned Data'!G2:G1201)</f>
        <v>4898</v>
      </c>
    </row>
    <row r="6">
      <c r="A6" s="8" t="s">
        <v>703</v>
      </c>
      <c r="B6" s="10">
        <f>B2/B4</f>
        <v>61471.37262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1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43"/>
    <col customWidth="1" min="2" max="2" width="12.0"/>
    <col customWidth="1" min="3" max="3" width="14.57"/>
    <col customWidth="1" min="4" max="26" width="8.71"/>
  </cols>
  <sheetData>
    <row r="1">
      <c r="A1" s="11" t="s">
        <v>1031</v>
      </c>
      <c r="B1" s="12"/>
      <c r="C1" s="13"/>
      <c r="D1" s="13"/>
      <c r="E1" s="13"/>
      <c r="F1" s="13"/>
      <c r="G1" s="13"/>
      <c r="H1" s="13"/>
    </row>
    <row r="2">
      <c r="A2" s="2" t="s">
        <v>1037</v>
      </c>
    </row>
    <row r="4">
      <c r="A4" s="2" t="s">
        <v>1038</v>
      </c>
      <c r="C4" s="2" t="s">
        <v>1039</v>
      </c>
      <c r="E4" s="2" t="s">
        <v>1041</v>
      </c>
    </row>
    <row r="5">
      <c r="A5" s="7">
        <f>Analysis!B2</f>
        <v>73765647.14</v>
      </c>
      <c r="C5" s="7">
        <f>Analysis!B3</f>
        <v>11320294.78</v>
      </c>
      <c r="E5" s="4">
        <f>Analysis!B4</f>
        <v>1200</v>
      </c>
    </row>
    <row r="8">
      <c r="A8" s="2" t="s">
        <v>1049</v>
      </c>
      <c r="C8" s="2" t="s">
        <v>1051</v>
      </c>
    </row>
    <row r="9">
      <c r="A9" s="4">
        <f>Analysis!B5</f>
        <v>4898</v>
      </c>
      <c r="C9" s="10">
        <f>Analysis!B6</f>
        <v>61471.37262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A47" s="2" t="s">
        <v>1058</v>
      </c>
    </row>
    <row r="48" ht="15.75" customHeight="1"/>
    <row r="49" ht="15.75" customHeight="1"/>
    <row r="50" ht="15.75" customHeight="1"/>
    <row r="51" ht="15.75" customHeight="1">
      <c r="A51" s="2" t="s">
        <v>1059</v>
      </c>
    </row>
    <row r="52" ht="15.75" customHeight="1"/>
    <row r="53" ht="15.75" customHeight="1">
      <c r="A53" s="2" t="s">
        <v>1061</v>
      </c>
    </row>
    <row r="54" ht="15.75" customHeight="1"/>
    <row r="55" ht="15.75" customHeight="1">
      <c r="A55" s="2" t="s">
        <v>1062</v>
      </c>
    </row>
    <row r="56" ht="15.75" customHeight="1"/>
    <row r="57" ht="15.75" customHeight="1">
      <c r="A57" s="2" t="s">
        <v>1064</v>
      </c>
    </row>
    <row r="58" ht="15.75" customHeight="1"/>
    <row r="59" ht="15.75" customHeight="1">
      <c r="A59" s="2" t="s">
        <v>1065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9"/>
  <printOptions/>
  <pageMargins bottom="1.0" footer="0.0" header="0.0" left="0.75" right="0.75" top="1.0"/>
  <pageSetup orientation="landscape"/>
  <drawing r:id="rId1"/>
</worksheet>
</file>